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OSTRUARIO" sheetId="1" state="visible" r:id="rId3"/>
    <sheet name="PARAMETROS" sheetId="2" state="visible" r:id="rId4"/>
    <sheet name="PRODUTOS" sheetId="3" state="visible" r:id="rId5"/>
    <sheet name="CALCULO" sheetId="4" state="visible" r:id="rId6"/>
    <sheet name="SAIDA" sheetId="5" state="visible" r:id="rId7"/>
  </sheets>
  <definedNames>
    <definedName function="false" hidden="false" name="COFINS" vbProcedure="false">PARAMETROS!$B$5</definedName>
    <definedName function="false" hidden="false" name="CSLL" vbProcedure="false">PARAMETROS!$B$7</definedName>
    <definedName function="false" hidden="false" name="FRETE" vbProcedure="false">PARAMETROS!$B$14</definedName>
    <definedName function="false" hidden="false" name="ICMS_CREDITO" vbProcedure="false">PARAMETROS!$B$3</definedName>
    <definedName function="false" hidden="false" name="ICMS_VENDA" vbProcedure="false">PARAMETROS!$B$2</definedName>
    <definedName function="false" hidden="false" name="IMPOSTOS" vbProcedure="false">PARAMETROS!$B$9</definedName>
    <definedName function="false" hidden="false" name="IPI" vbProcedure="false">PARAMETROS!$B$15</definedName>
    <definedName function="false" hidden="false" name="IRPJ" vbProcedure="false">PARAMETROS!$B$6</definedName>
    <definedName function="false" hidden="false" name="MARGEM_PADRAO" vbProcedure="false">PARAMETROS!$B$13</definedName>
    <definedName function="false" hidden="false" name="PIS" vbProcedure="false">PARAMETROS!$B$4</definedName>
    <definedName function="false" hidden="false" name="TAXA_10X" vbProcedure="false">PARAMETROS!$B$12</definedName>
    <definedName function="false" hidden="false" name="TAXA_3X" vbProcedure="false">PARAMETROS!$B$10</definedName>
    <definedName function="false" hidden="false" name="TAXA_6X" vbProcedure="false">PARAMETROS!$B$11</definedName>
    <definedName function="false" hidden="false" name="TRIBUTOS" vbProcedure="false">PARAMETROS!$B$8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<sst xmlns="http://schemas.openxmlformats.org/spreadsheetml/2006/main" count="225" uniqueCount="134">
  <si>
    <t xml:space="preserve">CS-LOJA</t>
  </si>
  <si>
    <t xml:space="preserve">SKU</t>
  </si>
  <si>
    <t xml:space="preserve">EQUIPAMENTO</t>
  </si>
  <si>
    <t xml:space="preserve">TECNOLOGIA</t>
  </si>
  <si>
    <t xml:space="preserve">BTUS</t>
  </si>
  <si>
    <t xml:space="preserve">TUBULAÇÃO</t>
  </si>
  <si>
    <t xml:space="preserve">MODELO</t>
  </si>
  <si>
    <t xml:space="preserve">MARCA</t>
  </si>
  <si>
    <t xml:space="preserve">A VISTA</t>
  </si>
  <si>
    <t xml:space="preserve">30D/3X</t>
  </si>
  <si>
    <t xml:space="preserve">30-60-90/6X</t>
  </si>
  <si>
    <t xml:space="preserve">10X CARTAO</t>
  </si>
  <si>
    <t xml:space="preserve">Estoque Entrada</t>
  </si>
  <si>
    <t xml:space="preserve">Estoque Saída</t>
  </si>
  <si>
    <t xml:space="preserve">b</t>
  </si>
  <si>
    <t xml:space="preserve">a</t>
  </si>
  <si>
    <t xml:space="preserve">.</t>
  </si>
  <si>
    <t xml:space="preserve">Nome</t>
  </si>
  <si>
    <t xml:space="preserve">Valor</t>
  </si>
  <si>
    <t xml:space="preserve">Significado</t>
  </si>
  <si>
    <t xml:space="preserve">Fonte da decisão</t>
  </si>
  <si>
    <t xml:space="preserve">ICMS_VENDA</t>
  </si>
  <si>
    <t xml:space="preserve">ICMS interno de venda (PA, 19%)</t>
  </si>
  <si>
    <t xml:space="preserve">Contabilidade - 18/08/2026</t>
  </si>
  <si>
    <t xml:space="preserve">ICMS_CREDITO</t>
  </si>
  <si>
    <t xml:space="preserve">Crédito ICMS na compra (interestadual)</t>
  </si>
  <si>
    <t xml:space="preserve">Contabilidade – 18/08/2026</t>
  </si>
  <si>
    <t xml:space="preserve">PIS</t>
  </si>
  <si>
    <t xml:space="preserve">PIS — Lucro Presumido cumulativo</t>
  </si>
  <si>
    <t xml:space="preserve">COFINS</t>
  </si>
  <si>
    <t xml:space="preserve">COFINS — Lucro Presumido cumulativo</t>
  </si>
  <si>
    <t xml:space="preserve">IRPJ</t>
  </si>
  <si>
    <t xml:space="preserve">IRPJ — presunção</t>
  </si>
  <si>
    <t xml:space="preserve">CSLL</t>
  </si>
  <si>
    <t xml:space="preserve">CSLL — presunção</t>
  </si>
  <si>
    <t xml:space="preserve">TRIBUTOS</t>
  </si>
  <si>
    <t xml:space="preserve">Soma PIS+COFINS+IRPJ+CSLL</t>
  </si>
  <si>
    <t xml:space="preserve">Forma soma</t>
  </si>
  <si>
    <t xml:space="preserve">IMPOSTOS</t>
  </si>
  <si>
    <t xml:space="preserve">ICMS + federais</t>
  </si>
  <si>
    <t xml:space="preserve">TAXA_3X</t>
  </si>
  <si>
    <t xml:space="preserve">Taxa/juros 3x</t>
  </si>
  <si>
    <t xml:space="preserve">Escada atual - 18/08/2026</t>
  </si>
  <si>
    <t xml:space="preserve">TAXA_6X</t>
  </si>
  <si>
    <t xml:space="preserve">Taxa/juros 6x</t>
  </si>
  <si>
    <t xml:space="preserve">Escada atual – 18/08/2026</t>
  </si>
  <si>
    <t xml:space="preserve">TAXA_10X</t>
  </si>
  <si>
    <t xml:space="preserve">Taxa/juros 10x</t>
  </si>
  <si>
    <t xml:space="preserve">MARGEM_PADRAO</t>
  </si>
  <si>
    <t xml:space="preserve">Margem alvo default</t>
  </si>
  <si>
    <t xml:space="preserve">Decisão de negócio - ?</t>
  </si>
  <si>
    <t xml:space="preserve">FRETE</t>
  </si>
  <si>
    <t xml:space="preserve">Fator de frete (pendência)</t>
  </si>
  <si>
    <t xml:space="preserve">Em aberto - ?</t>
  </si>
  <si>
    <t xml:space="preserve">IPI</t>
  </si>
  <si>
    <t xml:space="preserve">Fator de IPI (pendência)</t>
  </si>
  <si>
    <t xml:space="preserve">Sempre coloque os valores em numeros decimais para representar a porcentagem.
Exemplo: 10% = 0,1</t>
  </si>
  <si>
    <t xml:space="preserve">CUSTO_NF</t>
  </si>
  <si>
    <t xml:space="preserve">MARGEM_ALVO</t>
  </si>
  <si>
    <t xml:space="preserve">GWC09ACA-D6DNAIA/O</t>
  </si>
  <si>
    <t xml:space="preserve">DIAMOND BLACK WIFI</t>
  </si>
  <si>
    <t xml:space="preserve">GREE</t>
  </si>
  <si>
    <t xml:space="preserve">Os produtos são catalogados aqui.
Estes campos são utilizados automaticamente na planilha mais à frente.
CUSTO_NF tem seu crédito ICMS feito posteriormente, então coloque o preço da fábrica.
A MARGEM_ALVO sobrepõe a MARGEM_PADRAO da loja para aquele produto.</t>
  </si>
  <si>
    <t xml:space="preserve">GWC09ACA-D6DNAIA/I</t>
  </si>
  <si>
    <t xml:space="preserve">TIPO BARRIL</t>
  </si>
  <si>
    <t xml:space="preserve">GWC12ACC-D6DNAIA/O</t>
  </si>
  <si>
    <t xml:space="preserve">GWC12ACC-D6DNAIA/I</t>
  </si>
  <si>
    <t xml:space="preserve">GWC18ACD-D6NNA1D</t>
  </si>
  <si>
    <t xml:space="preserve">GWC12AWCXB-D6DNA4C/O</t>
  </si>
  <si>
    <t xml:space="preserve">G-SIDE FRIO - HORIZONTAL CLASSE A</t>
  </si>
  <si>
    <t xml:space="preserve">GWC12ATCXB-D6DNA3C/I</t>
  </si>
  <si>
    <t xml:space="preserve">GAS-R32</t>
  </si>
  <si>
    <t xml:space="preserve">GWC09ATB-D6DNA1 A/O</t>
  </si>
  <si>
    <t xml:space="preserve">G-TOP AUTO CONNECTION </t>
  </si>
  <si>
    <t xml:space="preserve">GWC09ATB-D6DNA1 A/I</t>
  </si>
  <si>
    <t xml:space="preserve">R-32 CONDENASADOR BARRIL</t>
  </si>
  <si>
    <t xml:space="preserve">GWC18ATD-D6DNA1 A/O</t>
  </si>
  <si>
    <t xml:space="preserve">GWC18ATD-D6DNA1 A/I</t>
  </si>
  <si>
    <t xml:space="preserve">GWC24ATE-D6DNA1 A/O</t>
  </si>
  <si>
    <t xml:space="preserve">GWC24ATE-D6DNA1 A/I</t>
  </si>
  <si>
    <t xml:space="preserve">GWC30ATEXF-S6DNA1A/I</t>
  </si>
  <si>
    <t xml:space="preserve">GWC30ATEXF-S6DNA1A/O</t>
  </si>
  <si>
    <t xml:space="preserve">R-32 CONDENASADOR HORIZONTAL</t>
  </si>
  <si>
    <t xml:space="preserve">GULD36W1</t>
  </si>
  <si>
    <t xml:space="preserve">G-PRIME COMPACTA</t>
  </si>
  <si>
    <t xml:space="preserve">GULD36ZD1</t>
  </si>
  <si>
    <t xml:space="preserve">GULD56W1</t>
  </si>
  <si>
    <t xml:space="preserve">GULD57ZD1</t>
  </si>
  <si>
    <t xml:space="preserve">GTC56EEXK-S6DNF6A/O</t>
  </si>
  <si>
    <t xml:space="preserve">G-PRIME COMPACTA - CLASSIF. B</t>
  </si>
  <si>
    <t xml:space="preserve">GTC56CCXK-S6DNA1A/I</t>
  </si>
  <si>
    <t xml:space="preserve">GWC12ATB-D6DNA2AK/O</t>
  </si>
  <si>
    <t xml:space="preserve">CONDENSADOR GREE K-7 1 VIA - BARRIL</t>
  </si>
  <si>
    <t xml:space="preserve">GKC12DA-D6DNAN1A/I</t>
  </si>
  <si>
    <t xml:space="preserve">EVAP. GREE K-7 1 VIA</t>
  </si>
  <si>
    <t xml:space="preserve">TD01</t>
  </si>
  <si>
    <t xml:space="preserve">PAINEL K-7 1 VIA</t>
  </si>
  <si>
    <t xml:space="preserve">GWC18ATB-D6DNA2AK/O</t>
  </si>
  <si>
    <t xml:space="preserve">GKC18DA-D6DNAN1A/I</t>
  </si>
  <si>
    <t xml:space="preserve">GWC24ATB-D6DNA2AK/O</t>
  </si>
  <si>
    <t xml:space="preserve">GKC24DA-D6DNAN1A/I</t>
  </si>
  <si>
    <t xml:space="preserve">GULD24W1</t>
  </si>
  <si>
    <t xml:space="preserve">G-PRIME PLUS  - HORIZONTAL</t>
  </si>
  <si>
    <t xml:space="preserve">GULD24T1</t>
  </si>
  <si>
    <t xml:space="preserve">R-32</t>
  </si>
  <si>
    <t xml:space="preserve">TF06/24 (TL10000220)</t>
  </si>
  <si>
    <t xml:space="preserve">G-PRIME COMPACTA - HORIZONTAL</t>
  </si>
  <si>
    <t xml:space="preserve">TF06 /24 (TL10000220)</t>
  </si>
  <si>
    <t xml:space="preserve">GULD36T1</t>
  </si>
  <si>
    <t xml:space="preserve">TF06 /36 (TL10000220)</t>
  </si>
  <si>
    <t xml:space="preserve">GULD56T1</t>
  </si>
  <si>
    <t xml:space="preserve">TF06 /56 (TL10000220)</t>
  </si>
  <si>
    <t xml:space="preserve">GUL36H/A</t>
  </si>
  <si>
    <t xml:space="preserve">SELO PROCEL A - BARRIL 220V-1 F-60HZ</t>
  </si>
  <si>
    <t xml:space="preserve">GU36ZDA</t>
  </si>
  <si>
    <t xml:space="preserve">CUSTO_LIQ</t>
  </si>
  <si>
    <t xml:space="preserve">MARGEM_USADA</t>
  </si>
  <si>
    <t xml:space="preserve">AVISTA</t>
  </si>
  <si>
    <t xml:space="preserve">3X</t>
  </si>
  <si>
    <t xml:space="preserve">6X</t>
  </si>
  <si>
    <t xml:space="preserve">10X</t>
  </si>
  <si>
    <t xml:space="preserve">Todas as células aqui presentes são calculadas automaticamente com as informações obtidas pelas outras páginas da planilha, então ela é bloqueada para mudanças por padrão.</t>
  </si>
  <si>
    <t xml:space="preserve">AVISTA_CALC</t>
  </si>
  <si>
    <t xml:space="preserve">AVISTA_PRATICADO</t>
  </si>
  <si>
    <t xml:space="preserve">DESVIO%</t>
  </si>
  <si>
    <t xml:space="preserve">MARGEM_REAL%</t>
  </si>
  <si>
    <t xml:space="preserve">GAP_MARGEM%</t>
  </si>
  <si>
    <t xml:space="preserve">NOVO_3X</t>
  </si>
  <si>
    <t xml:space="preserve">NOVO_6X</t>
  </si>
  <si>
    <t xml:space="preserve">NOVO_10X</t>
  </si>
  <si>
    <t xml:space="preserve">Somente o campo AVISTA_PRATICADO deve ser modificado, pois ele representa o valor atual dentro da disputa de preços.
Observação: nem sempre é necessário ter um preço inferior ao dos adversários para vender o produto.</t>
  </si>
  <si>
    <t xml:space="preserve">DESVIO% representa a diferença percentual do valor praticado para o calculado.</t>
  </si>
  <si>
    <t xml:space="preserve">MARGEM_REAL% é quanto deste valor vem para a empresa com o preço praticado.</t>
  </si>
  <si>
    <t xml:space="preserve">GAP_MARGEM% representa a diferença percentual abaixo do que era esperado como margem.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</si>
</sst>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&quot;R$ &quot;* #,##0.00_);_(&quot;R$ &quot;* \(#,##0.00\);_(&quot;R$ &quot;* \-??_);_(@_)"/>
    <numFmt numFmtId="166" formatCode="General"/>
    <numFmt numFmtId="167" formatCode="[$R$-416]\ #,##0.00;[RED]\-[$R$-416]\ #,##0.00"/>
    <numFmt numFmtId="168" formatCode="[$R$-416]\ #,##0.00;[RED]\-[$R$-416]\ #,##0.00"/>
    <numFmt numFmtId="169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972F"/>
        <bgColor rgb="FFFF8080"/>
      </patternFill>
    </fill>
    <fill>
      <patternFill patternType="solid">
        <fgColor rgb="FFFAD6B5"/>
        <bgColor rgb="FFFFC7CE"/>
      </patternFill>
    </fill>
    <fill>
      <patternFill patternType="solid">
        <fgColor rgb="FFBBDFE5"/>
        <bgColor rgb="FFCAEEE2"/>
      </patternFill>
    </fill>
    <fill>
      <patternFill patternType="solid">
        <fgColor rgb="FFEADAF0"/>
        <bgColor rgb="FFE8F1F5"/>
      </patternFill>
    </fill>
    <fill>
      <patternFill patternType="solid">
        <fgColor rgb="FFCAEEE2"/>
        <bgColor rgb="FFBBDFE5"/>
      </patternFill>
    </fill>
    <fill>
      <patternFill patternType="solid">
        <fgColor rgb="FFE8F1F5"/>
        <bgColor rgb="FFFFFFFF"/>
      </patternFill>
    </fill>
    <fill>
      <patternFill patternType="solid">
        <fgColor theme="0"/>
        <bgColor rgb="FFE8F1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8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9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DAF0"/>
      <rgbColor rgb="FFE8F1F5"/>
      <rgbColor rgb="FF660066"/>
      <rgbColor rgb="FFFF8080"/>
      <rgbColor rgb="FF0066CC"/>
      <rgbColor rgb="FFBBDF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AEEE2"/>
      <rgbColor rgb="FFFFFF99"/>
      <rgbColor rgb="FF99CCFF"/>
      <rgbColor rgb="FFFFC7CE"/>
      <rgbColor rgb="FFCC99FF"/>
      <rgbColor rgb="FFFAD6B5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4" activeCellId="0" sqref="N14"/>
    </sheetView>
  </sheetViews>
  <sheetFormatPr defaultColWidth="10.16015625" defaultRowHeight="13.5" zeroHeight="false" outlineLevelRow="0" outlineLevelCol="0"/>
  <cols>
    <col collapsed="false" customWidth="true" hidden="false" outlineLevel="0" max="1" min="1" style="1" width="13.84"/>
    <col collapsed="false" customWidth="true" hidden="false" outlineLevel="0" max="2" min="2" style="1" width="22.34"/>
    <col collapsed="false" customWidth="true" hidden="false" outlineLevel="0" max="3" min="3" style="1" width="14.62"/>
    <col collapsed="false" customWidth="true" hidden="false" outlineLevel="0" max="4" min="4" style="1" width="14.2"/>
    <col collapsed="false" customWidth="false" hidden="false" outlineLevel="0" max="5" min="5" style="1" width="10.16"/>
    <col collapsed="false" customWidth="true" hidden="false" outlineLevel="0" max="6" min="6" style="1" width="16.42"/>
    <col collapsed="false" customWidth="true" hidden="false" outlineLevel="0" max="7" min="7" style="1" width="27.24"/>
    <col collapsed="false" customWidth="true" hidden="false" outlineLevel="0" max="8" min="8" style="1" width="11.76"/>
    <col collapsed="false" customWidth="true" hidden="false" outlineLevel="0" max="9" min="9" style="1" width="11.4"/>
    <col collapsed="false" customWidth="true" hidden="false" outlineLevel="0" max="10" min="10" style="1" width="11.8"/>
    <col collapsed="false" customWidth="true" hidden="false" outlineLevel="0" max="11" min="11" style="1" width="12.29"/>
    <col collapsed="false" customWidth="true" hidden="false" outlineLevel="0" max="12" min="12" style="1" width="12.78"/>
    <col collapsed="false" customWidth="false" hidden="false" outlineLevel="0" max="13" min="13" style="1" width="10.16"/>
    <col collapsed="false" customWidth="true" hidden="false" outlineLevel="0" max="14" min="14" style="1" width="16.33"/>
    <col collapsed="false" customWidth="true" hidden="false" outlineLevel="0" max="15" min="15" style="1" width="6.97"/>
    <col collapsed="false" customWidth="true" hidden="false" outlineLevel="0" max="16" min="16" style="1" width="14.01"/>
    <col collapsed="false" customWidth="false" hidden="false" outlineLevel="0" max="16384" min="17" style="1" width="10.16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N1" s="7" t="s">
        <v>12</v>
      </c>
      <c r="P1" s="7" t="s">
        <v>13</v>
      </c>
    </row>
    <row r="2" customFormat="false" ht="13.5" hidden="false" customHeight="true" outlineLevel="0" collapsed="false">
      <c r="A2" s="8" t="n">
        <f aca="false">PRODUTOS!A2</f>
        <v>26482</v>
      </c>
      <c r="B2" s="8" t="str">
        <f aca="false">PRODUTOS!B2</f>
        <v>GWC09ACA-D6DNAIA/O</v>
      </c>
      <c r="C2" s="7"/>
      <c r="D2" s="7"/>
      <c r="E2" s="7"/>
      <c r="F2" s="7"/>
      <c r="G2" s="8" t="str">
        <f aca="false">PRODUTOS!C2</f>
        <v>DIAMOND BLACK WIFI</v>
      </c>
      <c r="H2" s="8" t="str">
        <f aca="false">PRODUTOS!D2</f>
        <v>GREE</v>
      </c>
      <c r="I2" s="9" t="n">
        <f aca="false">IF(SAIDA!F2="",SAIDA!B2,SAIDA!F2)</f>
        <v>2820</v>
      </c>
      <c r="J2" s="10" t="n">
        <f aca="false">IF(SAIDA!F2="",SAIDA!C2,SAIDA!J2)</f>
        <v>3030.16</v>
      </c>
      <c r="K2" s="11" t="n">
        <f aca="false">IF(SAIDA!F2="",SAIDA!D2,SAIDA!K2)</f>
        <v>3138.6</v>
      </c>
      <c r="L2" s="12" t="n">
        <f aca="false">IF(SAIDA!F2="",SAIDA!E2,SAIDA!L2)</f>
        <v>3401.14</v>
      </c>
      <c r="N2" s="7"/>
      <c r="P2" s="7"/>
    </row>
    <row r="3" customFormat="false" ht="13.5" hidden="false" customHeight="true" outlineLevel="0" collapsed="false">
      <c r="A3" s="8" t="n">
        <f aca="false">PRODUTOS!A3</f>
        <v>26483</v>
      </c>
      <c r="B3" s="8" t="str">
        <f aca="false">PRODUTOS!B3</f>
        <v>GWC09ACA-D6DNAIA/I</v>
      </c>
      <c r="C3" s="7"/>
      <c r="D3" s="7"/>
      <c r="E3" s="7"/>
      <c r="F3" s="7"/>
      <c r="G3" s="8" t="str">
        <f aca="false">PRODUTOS!C3</f>
        <v>TIPO BARRIL</v>
      </c>
      <c r="H3" s="8" t="str">
        <f aca="false">PRODUTOS!D3</f>
        <v>GREE</v>
      </c>
      <c r="I3" s="9" t="str">
        <f aca="false">IF(SAIDA!F3="",SAIDA!B3,SAIDA!F3)</f>
        <v/>
      </c>
      <c r="J3" s="10" t="str">
        <f aca="false">IF(SAIDA!F3="",SAIDA!C3,SAIDA!J3)</f>
        <v/>
      </c>
      <c r="K3" s="11" t="str">
        <f aca="false">IF(SAIDA!F3="",SAIDA!D3,SAIDA!K3)</f>
        <v/>
      </c>
      <c r="L3" s="12" t="str">
        <f aca="false">IF(SAIDA!F3="",SAIDA!E3,SAIDA!L3)</f>
        <v/>
      </c>
      <c r="N3" s="7"/>
      <c r="P3" s="7"/>
    </row>
    <row r="4" customFormat="false" ht="13.5" hidden="false" customHeight="true" outlineLevel="0" collapsed="false">
      <c r="A4" s="8" t="n">
        <f aca="false">PRODUTOS!A4</f>
        <v>26080</v>
      </c>
      <c r="B4" s="8" t="str">
        <f aca="false">PRODUTOS!B4</f>
        <v>GWC12ACC-D6DNAIA/O</v>
      </c>
      <c r="C4" s="7"/>
      <c r="D4" s="7"/>
      <c r="E4" s="7"/>
      <c r="F4" s="7"/>
      <c r="G4" s="8" t="str">
        <f aca="false">PRODUTOS!C4</f>
        <v>DIAMOND BLACK WIFI</v>
      </c>
      <c r="H4" s="8" t="str">
        <f aca="false">PRODUTOS!D4</f>
        <v>GREE</v>
      </c>
      <c r="I4" s="9" t="n">
        <f aca="false">IF(SAIDA!F4="",SAIDA!B4,SAIDA!F4)</f>
        <v>3270</v>
      </c>
      <c r="J4" s="10" t="n">
        <f aca="false">IF(SAIDA!F4="",SAIDA!C4,SAIDA!J4)</f>
        <v>3513.52</v>
      </c>
      <c r="K4" s="11" t="n">
        <f aca="false">IF(SAIDA!F4="",SAIDA!D4,SAIDA!K4)</f>
        <v>3639.17</v>
      </c>
      <c r="L4" s="12" t="n">
        <f aca="false">IF(SAIDA!F4="",SAIDA!E4,SAIDA!L4)</f>
        <v>3943.33</v>
      </c>
      <c r="N4" s="7"/>
      <c r="P4" s="7"/>
    </row>
    <row r="5" customFormat="false" ht="13.5" hidden="false" customHeight="true" outlineLevel="0" collapsed="false">
      <c r="A5" s="8" t="n">
        <f aca="false">PRODUTOS!A5</f>
        <v>26081</v>
      </c>
      <c r="B5" s="8" t="str">
        <f aca="false">PRODUTOS!B5</f>
        <v>GWC12ACC-D6DNAIA/I</v>
      </c>
      <c r="C5" s="7"/>
      <c r="D5" s="7"/>
      <c r="E5" s="7"/>
      <c r="F5" s="7"/>
      <c r="G5" s="8" t="str">
        <f aca="false">PRODUTOS!C5</f>
        <v>TIPO BARRIL</v>
      </c>
      <c r="H5" s="8" t="str">
        <f aca="false">PRODUTOS!D5</f>
        <v>GREE</v>
      </c>
      <c r="I5" s="9" t="str">
        <f aca="false">IF(SAIDA!F5="",SAIDA!B5,SAIDA!F5)</f>
        <v/>
      </c>
      <c r="J5" s="10" t="str">
        <f aca="false">IF(SAIDA!F5="",SAIDA!C5,SAIDA!J5)</f>
        <v/>
      </c>
      <c r="K5" s="11" t="str">
        <f aca="false">IF(SAIDA!F5="",SAIDA!D5,SAIDA!K5)</f>
        <v/>
      </c>
      <c r="L5" s="12" t="str">
        <f aca="false">IF(SAIDA!F5="",SAIDA!E5,SAIDA!L5)</f>
        <v/>
      </c>
      <c r="N5" s="7"/>
      <c r="P5" s="7"/>
    </row>
    <row r="6" customFormat="false" ht="13.5" hidden="false" customHeight="true" outlineLevel="0" collapsed="false">
      <c r="A6" s="8" t="n">
        <f aca="false">PRODUTOS!A6</f>
        <v>26471</v>
      </c>
      <c r="B6" s="8" t="str">
        <f aca="false">PRODUTOS!B6</f>
        <v>GWC18ACD-D6NNA1D</v>
      </c>
      <c r="C6" s="7"/>
      <c r="D6" s="7"/>
      <c r="E6" s="7"/>
      <c r="F6" s="7"/>
      <c r="G6" s="8" t="str">
        <f aca="false">PRODUTOS!C6</f>
        <v>DIAMOND BLACK WIFI</v>
      </c>
      <c r="H6" s="8" t="str">
        <f aca="false">PRODUTOS!D6</f>
        <v>GREE</v>
      </c>
      <c r="I6" s="9" t="n">
        <f aca="false">IF(SAIDA!F6="",SAIDA!B6,SAIDA!F6)</f>
        <v>4587</v>
      </c>
      <c r="J6" s="10" t="n">
        <f aca="false">IF(SAIDA!F6="",SAIDA!C6,SAIDA!J6)</f>
        <v>4931.74</v>
      </c>
      <c r="K6" s="11" t="n">
        <f aca="false">IF(SAIDA!F6="",SAIDA!D6,SAIDA!K6)</f>
        <v>5109.79</v>
      </c>
      <c r="L6" s="12" t="n">
        <f aca="false">IF(SAIDA!F6="",SAIDA!E6,SAIDA!L6)</f>
        <v>5541.29</v>
      </c>
      <c r="N6" s="7"/>
      <c r="P6" s="7"/>
    </row>
    <row r="7" customFormat="false" ht="13.5" hidden="false" customHeight="true" outlineLevel="0" collapsed="false">
      <c r="A7" s="8" t="n">
        <f aca="false">PRODUTOS!A7</f>
        <v>26472</v>
      </c>
      <c r="B7" s="8" t="str">
        <f aca="false">PRODUTOS!B7</f>
        <v>GWC18ACD-D6NNA1D</v>
      </c>
      <c r="C7" s="7"/>
      <c r="D7" s="7"/>
      <c r="E7" s="7"/>
      <c r="F7" s="7"/>
      <c r="G7" s="8" t="str">
        <f aca="false">PRODUTOS!C7</f>
        <v>TIPO BARRIL</v>
      </c>
      <c r="H7" s="8" t="str">
        <f aca="false">PRODUTOS!D7</f>
        <v>GREE</v>
      </c>
      <c r="I7" s="9" t="str">
        <f aca="false">IF(SAIDA!F7="",SAIDA!B7,SAIDA!F7)</f>
        <v/>
      </c>
      <c r="J7" s="10" t="str">
        <f aca="false">IF(SAIDA!F7="",SAIDA!C7,SAIDA!J7)</f>
        <v/>
      </c>
      <c r="K7" s="11" t="str">
        <f aca="false">IF(SAIDA!F7="",SAIDA!D7,SAIDA!K7)</f>
        <v/>
      </c>
      <c r="L7" s="12" t="str">
        <f aca="false">IF(SAIDA!F7="",SAIDA!E7,SAIDA!L7)</f>
        <v/>
      </c>
      <c r="N7" s="7"/>
      <c r="P7" s="7"/>
    </row>
    <row r="8" customFormat="false" ht="13.5" hidden="false" customHeight="true" outlineLevel="0" collapsed="false">
      <c r="A8" s="8" t="n">
        <f aca="false">PRODUTOS!A8</f>
        <v>26821</v>
      </c>
      <c r="B8" s="8" t="str">
        <f aca="false">PRODUTOS!B8</f>
        <v>GWC12AWCXB-D6DNA4C/O</v>
      </c>
      <c r="C8" s="7"/>
      <c r="D8" s="7"/>
      <c r="E8" s="7"/>
      <c r="F8" s="7"/>
      <c r="G8" s="8" t="str">
        <f aca="false">PRODUTOS!C8</f>
        <v>G-SIDE FRIO - HORIZONTAL CLASSE A</v>
      </c>
      <c r="H8" s="8" t="str">
        <f aca="false">PRODUTOS!D8</f>
        <v>GREE</v>
      </c>
      <c r="I8" s="9" t="n">
        <f aca="false">IF(SAIDA!F8="",SAIDA!B8,SAIDA!F8)</f>
        <v>2645</v>
      </c>
      <c r="J8" s="10" t="n">
        <f aca="false">IF(SAIDA!F8="",SAIDA!C8,SAIDA!J8)</f>
        <v>2837.75</v>
      </c>
      <c r="K8" s="11" t="n">
        <f aca="false">IF(SAIDA!F8="",SAIDA!D8,SAIDA!K8)</f>
        <v>2936.99</v>
      </c>
      <c r="L8" s="12" t="n">
        <f aca="false">IF(SAIDA!F8="",SAIDA!E8,SAIDA!L8)</f>
        <v>3176.58</v>
      </c>
      <c r="N8" s="7"/>
      <c r="P8" s="7"/>
    </row>
    <row r="9" customFormat="false" ht="13.5" hidden="false" customHeight="true" outlineLevel="0" collapsed="false">
      <c r="A9" s="8" t="n">
        <f aca="false">PRODUTOS!A9</f>
        <v>27124</v>
      </c>
      <c r="B9" s="8" t="str">
        <f aca="false">PRODUTOS!B9</f>
        <v>GWC12ATCXB-D6DNA3C/I</v>
      </c>
      <c r="C9" s="7"/>
      <c r="D9" s="7"/>
      <c r="E9" s="7"/>
      <c r="F9" s="7"/>
      <c r="G9" s="8" t="str">
        <f aca="false">PRODUTOS!C9</f>
        <v>GAS-R32</v>
      </c>
      <c r="H9" s="8" t="str">
        <f aca="false">PRODUTOS!D9</f>
        <v>GREE</v>
      </c>
      <c r="I9" s="9" t="str">
        <f aca="false">IF(SAIDA!F9="",SAIDA!B9,SAIDA!F9)</f>
        <v/>
      </c>
      <c r="J9" s="10" t="str">
        <f aca="false">IF(SAIDA!F9="",SAIDA!C9,SAIDA!J9)</f>
        <v/>
      </c>
      <c r="K9" s="11" t="str">
        <f aca="false">IF(SAIDA!F9="",SAIDA!D9,SAIDA!K9)</f>
        <v/>
      </c>
      <c r="L9" s="12" t="str">
        <f aca="false">IF(SAIDA!F9="",SAIDA!E9,SAIDA!L9)</f>
        <v/>
      </c>
      <c r="N9" s="7"/>
      <c r="P9" s="7"/>
    </row>
    <row r="10" customFormat="false" ht="13.5" hidden="false" customHeight="true" outlineLevel="0" collapsed="false">
      <c r="A10" s="8" t="n">
        <f aca="false">PRODUTOS!A10</f>
        <v>25812</v>
      </c>
      <c r="B10" s="8" t="str">
        <f aca="false">PRODUTOS!B10</f>
        <v>GWC09ATB-D6DNA1 A/O</v>
      </c>
      <c r="C10" s="7"/>
      <c r="D10" s="7"/>
      <c r="E10" s="7"/>
      <c r="F10" s="7"/>
      <c r="G10" s="8" t="str">
        <f aca="false">PRODUTOS!C10</f>
        <v>G-TOP AUTO CONNECTION </v>
      </c>
      <c r="H10" s="8" t="str">
        <f aca="false">PRODUTOS!D10</f>
        <v>GREE</v>
      </c>
      <c r="I10" s="9" t="n">
        <f aca="false">IF(SAIDA!F10="",SAIDA!B10,SAIDA!F10)</f>
        <v>2045</v>
      </c>
      <c r="J10" s="10" t="n">
        <f aca="false">IF(SAIDA!F10="",SAIDA!C10,SAIDA!J10)</f>
        <v>2178.04</v>
      </c>
      <c r="K10" s="11" t="n">
        <f aca="false">IF(SAIDA!F10="",SAIDA!D10,SAIDA!K10)</f>
        <v>2245.77</v>
      </c>
      <c r="L10" s="12" t="n">
        <f aca="false">IF(SAIDA!F10="",SAIDA!E10,SAIDA!L10)</f>
        <v>2407.25</v>
      </c>
      <c r="N10" s="7"/>
      <c r="P10" s="7"/>
    </row>
    <row r="11" customFormat="false" ht="13.5" hidden="false" customHeight="true" outlineLevel="0" collapsed="false">
      <c r="A11" s="8" t="n">
        <f aca="false">PRODUTOS!A11</f>
        <v>25808</v>
      </c>
      <c r="B11" s="8" t="str">
        <f aca="false">PRODUTOS!B11</f>
        <v>GWC09ATB-D6DNA1 A/I</v>
      </c>
      <c r="C11" s="7"/>
      <c r="D11" s="7"/>
      <c r="E11" s="7"/>
      <c r="F11" s="7"/>
      <c r="G11" s="8" t="str">
        <f aca="false">PRODUTOS!C11</f>
        <v>R-32 CONDENASADOR BARRIL</v>
      </c>
      <c r="H11" s="8" t="str">
        <f aca="false">PRODUTOS!D11</f>
        <v>GREE</v>
      </c>
      <c r="I11" s="9" t="str">
        <f aca="false">IF(SAIDA!F11="",SAIDA!B11,SAIDA!F11)</f>
        <v/>
      </c>
      <c r="J11" s="10" t="str">
        <f aca="false">IF(SAIDA!F11="",SAIDA!C11,SAIDA!J11)</f>
        <v/>
      </c>
      <c r="K11" s="11" t="str">
        <f aca="false">IF(SAIDA!F11="",SAIDA!D11,SAIDA!K11)</f>
        <v/>
      </c>
      <c r="L11" s="12" t="str">
        <f aca="false">IF(SAIDA!F11="",SAIDA!E11,SAIDA!L11)</f>
        <v/>
      </c>
      <c r="N11" s="7"/>
      <c r="P11" s="7"/>
    </row>
    <row r="12" customFormat="false" ht="13.5" hidden="false" customHeight="true" outlineLevel="0" collapsed="false">
      <c r="A12" s="8" t="n">
        <f aca="false">PRODUTOS!A12</f>
        <v>25595</v>
      </c>
      <c r="B12" s="8" t="str">
        <f aca="false">PRODUTOS!B12</f>
        <v>GWC18ATD-D6DNA1 A/O</v>
      </c>
      <c r="C12" s="7"/>
      <c r="D12" s="7"/>
      <c r="E12" s="7"/>
      <c r="F12" s="7"/>
      <c r="G12" s="8" t="str">
        <f aca="false">PRODUTOS!C12</f>
        <v>G-TOP AUTO CONNECTION </v>
      </c>
      <c r="H12" s="8" t="str">
        <f aca="false">PRODUTOS!D12</f>
        <v>GREE</v>
      </c>
      <c r="I12" s="9" t="n">
        <f aca="false">IF(SAIDA!F12="",SAIDA!B12,SAIDA!F12)</f>
        <v>3615</v>
      </c>
      <c r="J12" s="10" t="n">
        <f aca="false">IF(SAIDA!F12="",SAIDA!C12,SAIDA!J12)</f>
        <v>3860.25</v>
      </c>
      <c r="K12" s="11" t="n">
        <f aca="false">IF(SAIDA!F12="",SAIDA!D12,SAIDA!K12)</f>
        <v>3985.62</v>
      </c>
      <c r="L12" s="12" t="n">
        <f aca="false">IF(SAIDA!F12="",SAIDA!E12,SAIDA!L12)</f>
        <v>4285.82</v>
      </c>
      <c r="N12" s="7"/>
      <c r="P12" s="7"/>
    </row>
    <row r="13" customFormat="false" ht="13.5" hidden="false" customHeight="true" outlineLevel="0" collapsed="false">
      <c r="A13" s="8" t="n">
        <f aca="false">PRODUTOS!A13</f>
        <v>25594</v>
      </c>
      <c r="B13" s="8" t="str">
        <f aca="false">PRODUTOS!B13</f>
        <v>GWC18ATD-D6DNA1 A/I</v>
      </c>
      <c r="C13" s="7"/>
      <c r="D13" s="7"/>
      <c r="E13" s="7"/>
      <c r="F13" s="7"/>
      <c r="G13" s="8" t="str">
        <f aca="false">PRODUTOS!C13</f>
        <v>R-32 CONDENASADOR BARRIL</v>
      </c>
      <c r="H13" s="8" t="str">
        <f aca="false">PRODUTOS!D13</f>
        <v>GREE</v>
      </c>
      <c r="I13" s="9" t="str">
        <f aca="false">IF(SAIDA!F13="",SAIDA!B13,SAIDA!F13)</f>
        <v/>
      </c>
      <c r="J13" s="10" t="str">
        <f aca="false">IF(SAIDA!F13="",SAIDA!C13,SAIDA!J13)</f>
        <v/>
      </c>
      <c r="K13" s="11" t="str">
        <f aca="false">IF(SAIDA!F13="",SAIDA!D13,SAIDA!K13)</f>
        <v/>
      </c>
      <c r="L13" s="12" t="str">
        <f aca="false">IF(SAIDA!F13="",SAIDA!E13,SAIDA!L13)</f>
        <v/>
      </c>
      <c r="N13" s="7"/>
      <c r="P13" s="7"/>
    </row>
    <row r="14" customFormat="false" ht="13.5" hidden="false" customHeight="true" outlineLevel="0" collapsed="false">
      <c r="A14" s="8" t="n">
        <f aca="false">PRODUTOS!A14</f>
        <v>25597</v>
      </c>
      <c r="B14" s="8" t="str">
        <f aca="false">PRODUTOS!B14</f>
        <v>GWC24ATE-D6DNA1 A/O</v>
      </c>
      <c r="C14" s="7"/>
      <c r="D14" s="7"/>
      <c r="E14" s="7"/>
      <c r="F14" s="7"/>
      <c r="G14" s="8" t="str">
        <f aca="false">PRODUTOS!C14</f>
        <v>G-TOP AUTO CONNECTION </v>
      </c>
      <c r="H14" s="8" t="str">
        <f aca="false">PRODUTOS!D14</f>
        <v>GREE</v>
      </c>
      <c r="I14" s="9" t="n">
        <f aca="false">IF(SAIDA!F14="",SAIDA!B14,SAIDA!F14)</f>
        <v>4890</v>
      </c>
      <c r="J14" s="10" t="n">
        <f aca="false">IF(SAIDA!F14="",SAIDA!C14,SAIDA!J14)</f>
        <v>5246.74</v>
      </c>
      <c r="K14" s="11" t="n">
        <f aca="false">IF(SAIDA!F14="",SAIDA!D14,SAIDA!K14)</f>
        <v>5430.41</v>
      </c>
      <c r="L14" s="12" t="n">
        <f aca="false">IF(SAIDA!F14="",SAIDA!E14,SAIDA!L14)</f>
        <v>5873.93</v>
      </c>
      <c r="N14" s="7"/>
      <c r="P14" s="7"/>
    </row>
    <row r="15" customFormat="false" ht="13.5" hidden="false" customHeight="true" outlineLevel="0" collapsed="false">
      <c r="A15" s="8" t="n">
        <f aca="false">PRODUTOS!A15</f>
        <v>25596</v>
      </c>
      <c r="B15" s="8" t="str">
        <f aca="false">PRODUTOS!B15</f>
        <v>GWC24ATE-D6DNA1 A/I</v>
      </c>
      <c r="C15" s="7"/>
      <c r="D15" s="7"/>
      <c r="E15" s="7"/>
      <c r="F15" s="7"/>
      <c r="G15" s="8" t="str">
        <f aca="false">PRODUTOS!C15</f>
        <v>R-32 CONDENASADOR BARRIL</v>
      </c>
      <c r="H15" s="8" t="str">
        <f aca="false">PRODUTOS!D15</f>
        <v>GREE</v>
      </c>
      <c r="I15" s="9" t="str">
        <f aca="false">IF(SAIDA!F15="",SAIDA!B15,SAIDA!F15)</f>
        <v/>
      </c>
      <c r="J15" s="10" t="str">
        <f aca="false">IF(SAIDA!F15="",SAIDA!C15,SAIDA!J15)</f>
        <v/>
      </c>
      <c r="K15" s="11" t="str">
        <f aca="false">IF(SAIDA!F15="",SAIDA!D15,SAIDA!K15)</f>
        <v/>
      </c>
      <c r="L15" s="12" t="str">
        <f aca="false">IF(SAIDA!F15="",SAIDA!E15,SAIDA!L15)</f>
        <v/>
      </c>
      <c r="N15" s="7"/>
      <c r="P15" s="7"/>
    </row>
    <row r="16" customFormat="false" ht="13.5" hidden="false" customHeight="true" outlineLevel="0" collapsed="false">
      <c r="A16" s="8" t="n">
        <f aca="false">PRODUTOS!A16</f>
        <v>25872</v>
      </c>
      <c r="B16" s="8" t="str">
        <f aca="false">PRODUTOS!B16</f>
        <v>GWC30ATEXF-S6DNA1A/I</v>
      </c>
      <c r="C16" s="7"/>
      <c r="D16" s="7"/>
      <c r="E16" s="7"/>
      <c r="F16" s="7"/>
      <c r="G16" s="8" t="str">
        <f aca="false">PRODUTOS!C16</f>
        <v>G-TOP AUTO CONNECTION </v>
      </c>
      <c r="H16" s="8" t="str">
        <f aca="false">PRODUTOS!D16</f>
        <v>GREE</v>
      </c>
      <c r="I16" s="9" t="n">
        <f aca="false">IF(SAIDA!F16="",SAIDA!B16,SAIDA!F16)</f>
        <v>6758</v>
      </c>
      <c r="J16" s="10" t="n">
        <f aca="false">IF(SAIDA!F16="",SAIDA!C16,SAIDA!J16)</f>
        <v>7225.54</v>
      </c>
      <c r="K16" s="11" t="n">
        <f aca="false">IF(SAIDA!F16="",SAIDA!D16,SAIDA!K16)</f>
        <v>7464.99</v>
      </c>
      <c r="L16" s="12" t="n">
        <f aca="false">IF(SAIDA!F16="",SAIDA!E16,SAIDA!L16)</f>
        <v>8039.63</v>
      </c>
      <c r="N16" s="7"/>
      <c r="P16" s="7" t="s">
        <v>14</v>
      </c>
    </row>
    <row r="17" customFormat="false" ht="13.5" hidden="false" customHeight="true" outlineLevel="0" collapsed="false">
      <c r="A17" s="8" t="n">
        <f aca="false">PRODUTOS!A17</f>
        <v>25871</v>
      </c>
      <c r="B17" s="8" t="str">
        <f aca="false">PRODUTOS!B17</f>
        <v>GWC30ATEXF-S6DNA1A/O</v>
      </c>
      <c r="C17" s="7"/>
      <c r="D17" s="7"/>
      <c r="E17" s="7"/>
      <c r="F17" s="7"/>
      <c r="G17" s="8" t="str">
        <f aca="false">PRODUTOS!C17</f>
        <v>R-32 CONDENASADOR HORIZONTAL</v>
      </c>
      <c r="H17" s="8" t="str">
        <f aca="false">PRODUTOS!D17</f>
        <v>GREE</v>
      </c>
      <c r="I17" s="9" t="str">
        <f aca="false">IF(SAIDA!F17="",SAIDA!B17,SAIDA!F17)</f>
        <v/>
      </c>
      <c r="J17" s="10" t="str">
        <f aca="false">IF(SAIDA!F17="",SAIDA!C17,SAIDA!J17)</f>
        <v/>
      </c>
      <c r="K17" s="11" t="str">
        <f aca="false">IF(SAIDA!F17="",SAIDA!D17,SAIDA!K17)</f>
        <v/>
      </c>
      <c r="L17" s="12" t="str">
        <f aca="false">IF(SAIDA!F17="",SAIDA!E17,SAIDA!L17)</f>
        <v/>
      </c>
      <c r="N17" s="7"/>
      <c r="P17" s="7"/>
    </row>
    <row r="18" customFormat="false" ht="13.5" hidden="false" customHeight="true" outlineLevel="0" collapsed="false">
      <c r="A18" s="8" t="n">
        <f aca="false">PRODUTOS!A18</f>
        <v>25724</v>
      </c>
      <c r="B18" s="8" t="str">
        <f aca="false">PRODUTOS!B18</f>
        <v>GULD36W1</v>
      </c>
      <c r="C18" s="7"/>
      <c r="D18" s="7"/>
      <c r="E18" s="7"/>
      <c r="F18" s="7"/>
      <c r="G18" s="8" t="str">
        <f aca="false">PRODUTOS!C18</f>
        <v>G-PRIME COMPACTA</v>
      </c>
      <c r="H18" s="8" t="str">
        <f aca="false">PRODUTOS!D18</f>
        <v>GREE</v>
      </c>
      <c r="I18" s="9" t="n">
        <f aca="false">IF(SAIDA!F18="",SAIDA!B18,SAIDA!F18)</f>
        <v>7932</v>
      </c>
      <c r="J18" s="10" t="n">
        <f aca="false">IF(SAIDA!F18="",SAIDA!C18,SAIDA!J18)</f>
        <v>8532.07</v>
      </c>
      <c r="K18" s="11" t="n">
        <f aca="false">IF(SAIDA!F18="",SAIDA!D18,SAIDA!K18)</f>
        <v>8842.22</v>
      </c>
      <c r="L18" s="12" t="n">
        <f aca="false">IF(SAIDA!F18="",SAIDA!E18,SAIDA!L18)</f>
        <v>9594.44</v>
      </c>
      <c r="N18" s="7"/>
      <c r="P18" s="7"/>
    </row>
    <row r="19" customFormat="false" ht="13.5" hidden="false" customHeight="true" outlineLevel="0" collapsed="false">
      <c r="A19" s="8" t="n">
        <f aca="false">PRODUTOS!A19</f>
        <v>25723</v>
      </c>
      <c r="B19" s="8" t="str">
        <f aca="false">PRODUTOS!B19</f>
        <v>GULD36ZD1</v>
      </c>
      <c r="C19" s="7"/>
      <c r="D19" s="7"/>
      <c r="E19" s="7"/>
      <c r="F19" s="7"/>
      <c r="G19" s="8" t="str">
        <f aca="false">PRODUTOS!C19</f>
        <v>R-32 CONDENASADOR HORIZONTAL</v>
      </c>
      <c r="H19" s="8" t="str">
        <f aca="false">PRODUTOS!D19</f>
        <v>GREE</v>
      </c>
      <c r="I19" s="9" t="str">
        <f aca="false">IF(SAIDA!F19="",SAIDA!B19,SAIDA!F19)</f>
        <v/>
      </c>
      <c r="J19" s="10" t="str">
        <f aca="false">IF(SAIDA!F19="",SAIDA!C19,SAIDA!J19)</f>
        <v/>
      </c>
      <c r="K19" s="11" t="str">
        <f aca="false">IF(SAIDA!F19="",SAIDA!D19,SAIDA!K19)</f>
        <v/>
      </c>
      <c r="L19" s="12" t="str">
        <f aca="false">IF(SAIDA!F19="",SAIDA!E19,SAIDA!L19)</f>
        <v/>
      </c>
      <c r="N19" s="7"/>
      <c r="P19" s="7"/>
    </row>
    <row r="20" customFormat="false" ht="13.5" hidden="false" customHeight="true" outlineLevel="0" collapsed="false">
      <c r="A20" s="8" t="n">
        <f aca="false">PRODUTOS!A20</f>
        <v>25928</v>
      </c>
      <c r="B20" s="8" t="str">
        <f aca="false">PRODUTOS!B20</f>
        <v>GULD56W1</v>
      </c>
      <c r="C20" s="7"/>
      <c r="D20" s="7"/>
      <c r="E20" s="7"/>
      <c r="F20" s="7"/>
      <c r="G20" s="8" t="str">
        <f aca="false">PRODUTOS!C20</f>
        <v>G-PRIME COMPACTA</v>
      </c>
      <c r="H20" s="8" t="str">
        <f aca="false">PRODUTOS!D20</f>
        <v>GREE</v>
      </c>
      <c r="I20" s="9" t="n">
        <f aca="false">IF(SAIDA!F20="",SAIDA!B20,SAIDA!F20)</f>
        <v>11053</v>
      </c>
      <c r="J20" s="10" t="n">
        <f aca="false">IF(SAIDA!F20="",SAIDA!C20,SAIDA!J20)</f>
        <v>11924.59</v>
      </c>
      <c r="K20" s="11" t="n">
        <f aca="false">IF(SAIDA!F20="",SAIDA!D20,SAIDA!K20)</f>
        <v>12377.11</v>
      </c>
      <c r="L20" s="12" t="n">
        <f aca="false">IF(SAIDA!F20="",SAIDA!E20,SAIDA!L20)</f>
        <v>13480.46</v>
      </c>
      <c r="N20" s="7"/>
      <c r="P20" s="7"/>
    </row>
    <row r="21" customFormat="false" ht="13.5" hidden="false" customHeight="true" outlineLevel="0" collapsed="false">
      <c r="A21" s="8" t="n">
        <f aca="false">PRODUTOS!A21</f>
        <v>25927</v>
      </c>
      <c r="B21" s="8" t="str">
        <f aca="false">PRODUTOS!B21</f>
        <v>GULD57ZD1</v>
      </c>
      <c r="C21" s="7"/>
      <c r="D21" s="7"/>
      <c r="E21" s="7"/>
      <c r="F21" s="7"/>
      <c r="G21" s="8" t="str">
        <f aca="false">PRODUTOS!C21</f>
        <v>R-32 CONDENASADOR HORIZONTAL</v>
      </c>
      <c r="H21" s="8" t="str">
        <f aca="false">PRODUTOS!D21</f>
        <v>GREE</v>
      </c>
      <c r="I21" s="9" t="str">
        <f aca="false">IF(SAIDA!F21="",SAIDA!B21,SAIDA!F21)</f>
        <v/>
      </c>
      <c r="J21" s="10" t="str">
        <f aca="false">IF(SAIDA!F21="",SAIDA!C21,SAIDA!J21)</f>
        <v/>
      </c>
      <c r="K21" s="11" t="str">
        <f aca="false">IF(SAIDA!F21="",SAIDA!D21,SAIDA!K21)</f>
        <v/>
      </c>
      <c r="L21" s="12" t="str">
        <f aca="false">IF(SAIDA!F21="",SAIDA!E21,SAIDA!L21)</f>
        <v/>
      </c>
      <c r="N21" s="7" t="s">
        <v>15</v>
      </c>
      <c r="P21" s="7"/>
    </row>
    <row r="22" customFormat="false" ht="13.5" hidden="false" customHeight="true" outlineLevel="0" collapsed="false">
      <c r="A22" s="8" t="n">
        <f aca="false">PRODUTOS!A22</f>
        <v>27098</v>
      </c>
      <c r="B22" s="8" t="str">
        <f aca="false">PRODUTOS!B22</f>
        <v>GTC56EEXK-S6DNF6A/O</v>
      </c>
      <c r="C22" s="7"/>
      <c r="D22" s="7"/>
      <c r="E22" s="7"/>
      <c r="F22" s="7"/>
      <c r="G22" s="8" t="str">
        <f aca="false">PRODUTOS!C22</f>
        <v>G-PRIME COMPACTA - CLASSIF. B</v>
      </c>
      <c r="H22" s="8" t="str">
        <f aca="false">PRODUTOS!D22</f>
        <v>GREE</v>
      </c>
      <c r="I22" s="9" t="n">
        <f aca="false">IF(SAIDA!F22="",SAIDA!B22,SAIDA!F22)</f>
        <v>9800</v>
      </c>
      <c r="J22" s="10" t="n">
        <f aca="false">IF(SAIDA!F22="",SAIDA!C22,SAIDA!J22)</f>
        <v>-0</v>
      </c>
      <c r="K22" s="11" t="n">
        <f aca="false">IF(SAIDA!F22="",SAIDA!D22,SAIDA!K22)</f>
        <v>-0</v>
      </c>
      <c r="L22" s="12" t="n">
        <f aca="false">IF(SAIDA!F22="",SAIDA!E22,SAIDA!L22)</f>
        <v>-0</v>
      </c>
      <c r="N22" s="7"/>
      <c r="P22" s="7"/>
    </row>
    <row r="23" customFormat="false" ht="13.5" hidden="false" customHeight="true" outlineLevel="0" collapsed="false">
      <c r="A23" s="8" t="n">
        <f aca="false">PRODUTOS!A23</f>
        <v>27099</v>
      </c>
      <c r="B23" s="8" t="str">
        <f aca="false">PRODUTOS!B23</f>
        <v>GTC56CCXK-S6DNA1A/I</v>
      </c>
      <c r="C23" s="7"/>
      <c r="D23" s="7"/>
      <c r="E23" s="7"/>
      <c r="F23" s="7"/>
      <c r="G23" s="8" t="str">
        <f aca="false">PRODUTOS!C23</f>
        <v>R-32 CONDENASADOR HORIZONTAL</v>
      </c>
      <c r="H23" s="8" t="str">
        <f aca="false">PRODUTOS!D23</f>
        <v>GREE</v>
      </c>
      <c r="I23" s="9" t="str">
        <f aca="false">IF(SAIDA!F23="",SAIDA!B23,SAIDA!F23)</f>
        <v/>
      </c>
      <c r="J23" s="10" t="str">
        <f aca="false">IF(SAIDA!F23="",SAIDA!C23,SAIDA!J23)</f>
        <v/>
      </c>
      <c r="K23" s="11" t="str">
        <f aca="false">IF(SAIDA!F23="",SAIDA!D23,SAIDA!K23)</f>
        <v/>
      </c>
      <c r="L23" s="12" t="str">
        <f aca="false">IF(SAIDA!F23="",SAIDA!E23,SAIDA!L23)</f>
        <v/>
      </c>
      <c r="N23" s="7"/>
      <c r="P23" s="7"/>
    </row>
    <row r="24" customFormat="false" ht="13.5" hidden="false" customHeight="true" outlineLevel="0" collapsed="false">
      <c r="A24" s="8" t="n">
        <f aca="false">PRODUTOS!A24</f>
        <v>26882</v>
      </c>
      <c r="B24" s="8" t="str">
        <f aca="false">PRODUTOS!B24</f>
        <v>GWC12ATB-D6DNA2AK/O</v>
      </c>
      <c r="C24" s="7"/>
      <c r="D24" s="7"/>
      <c r="E24" s="7"/>
      <c r="F24" s="7"/>
      <c r="G24" s="8" t="str">
        <f aca="false">PRODUTOS!C24</f>
        <v>CONDENSADOR GREE K-7 1 VIA - BARRIL</v>
      </c>
      <c r="H24" s="8" t="str">
        <f aca="false">PRODUTOS!D24</f>
        <v>GREE</v>
      </c>
      <c r="I24" s="9" t="n">
        <f aca="false">IF(SAIDA!F24="",SAIDA!B24,SAIDA!F24)</f>
        <v>5870</v>
      </c>
      <c r="J24" s="10" t="n">
        <f aca="false">IF(SAIDA!F24="",SAIDA!C24,SAIDA!J24)</f>
        <v>-0</v>
      </c>
      <c r="K24" s="11" t="n">
        <f aca="false">IF(SAIDA!F24="",SAIDA!D24,SAIDA!K24)</f>
        <v>-0</v>
      </c>
      <c r="L24" s="12" t="n">
        <f aca="false">IF(SAIDA!F24="",SAIDA!E24,SAIDA!L24)</f>
        <v>-0</v>
      </c>
      <c r="N24" s="7"/>
      <c r="P24" s="7"/>
    </row>
    <row r="25" customFormat="false" ht="13.5" hidden="false" customHeight="true" outlineLevel="0" collapsed="false">
      <c r="A25" s="8" t="n">
        <f aca="false">PRODUTOS!A25</f>
        <v>26881</v>
      </c>
      <c r="B25" s="8" t="str">
        <f aca="false">PRODUTOS!B25</f>
        <v>GKC12DA-D6DNAN1A/I</v>
      </c>
      <c r="C25" s="7"/>
      <c r="D25" s="7"/>
      <c r="E25" s="7"/>
      <c r="F25" s="7"/>
      <c r="G25" s="8" t="str">
        <f aca="false">PRODUTOS!C25</f>
        <v>EVAP. GREE K-7 1 VIA</v>
      </c>
      <c r="H25" s="8" t="str">
        <f aca="false">PRODUTOS!D25</f>
        <v>GREE</v>
      </c>
      <c r="I25" s="9" t="str">
        <f aca="false">IF(SAIDA!F25="",SAIDA!B25,SAIDA!F25)</f>
        <v/>
      </c>
      <c r="J25" s="10" t="str">
        <f aca="false">IF(SAIDA!F25="",SAIDA!C25,SAIDA!J25)</f>
        <v/>
      </c>
      <c r="K25" s="11" t="str">
        <f aca="false">IF(SAIDA!F25="",SAIDA!D25,SAIDA!K25)</f>
        <v/>
      </c>
      <c r="L25" s="12" t="str">
        <f aca="false">IF(SAIDA!F25="",SAIDA!E25,SAIDA!L25)</f>
        <v/>
      </c>
      <c r="N25" s="7"/>
      <c r="P25" s="7"/>
    </row>
    <row r="26" customFormat="false" ht="13.5" hidden="false" customHeight="true" outlineLevel="0" collapsed="false">
      <c r="A26" s="8" t="n">
        <f aca="false">PRODUTOS!A26</f>
        <v>26834</v>
      </c>
      <c r="B26" s="8" t="str">
        <f aca="false">PRODUTOS!B26</f>
        <v>TD01</v>
      </c>
      <c r="C26" s="7"/>
      <c r="D26" s="7"/>
      <c r="E26" s="7"/>
      <c r="F26" s="7"/>
      <c r="G26" s="8" t="str">
        <f aca="false">PRODUTOS!C26</f>
        <v>PAINEL K-7 1 VIA</v>
      </c>
      <c r="H26" s="8" t="str">
        <f aca="false">PRODUTOS!D26</f>
        <v>GREE</v>
      </c>
      <c r="I26" s="9" t="str">
        <f aca="false">IF(SAIDA!F26="",SAIDA!B26,SAIDA!F26)</f>
        <v/>
      </c>
      <c r="J26" s="10" t="str">
        <f aca="false">IF(SAIDA!F26="",SAIDA!C26,SAIDA!J26)</f>
        <v/>
      </c>
      <c r="K26" s="11" t="str">
        <f aca="false">IF(SAIDA!F26="",SAIDA!D26,SAIDA!K26)</f>
        <v/>
      </c>
      <c r="L26" s="12" t="str">
        <f aca="false">IF(SAIDA!F26="",SAIDA!E26,SAIDA!L26)</f>
        <v/>
      </c>
      <c r="N26" s="7"/>
      <c r="P26" s="7"/>
    </row>
    <row r="27" customFormat="false" ht="13.5" hidden="false" customHeight="true" outlineLevel="0" collapsed="false">
      <c r="A27" s="8" t="n">
        <f aca="false">PRODUTOS!A27</f>
        <v>26890</v>
      </c>
      <c r="B27" s="8" t="str">
        <f aca="false">PRODUTOS!B27</f>
        <v>GWC18ATB-D6DNA2AK/O</v>
      </c>
      <c r="C27" s="7"/>
      <c r="D27" s="7"/>
      <c r="E27" s="7"/>
      <c r="F27" s="7"/>
      <c r="G27" s="8" t="str">
        <f aca="false">PRODUTOS!C27</f>
        <v>CONDENSADOR GREE K-7 1 VIA - BARRIL</v>
      </c>
      <c r="H27" s="8" t="str">
        <f aca="false">PRODUTOS!D27</f>
        <v>GREE</v>
      </c>
      <c r="I27" s="9" t="n">
        <f aca="false">IF(SAIDA!F27="",SAIDA!B27,SAIDA!F27)</f>
        <v>6235</v>
      </c>
      <c r="J27" s="10" t="n">
        <f aca="false">IF(SAIDA!F27="",SAIDA!C27,SAIDA!J27)</f>
        <v>-0</v>
      </c>
      <c r="K27" s="11" t="n">
        <f aca="false">IF(SAIDA!F27="",SAIDA!D27,SAIDA!K27)</f>
        <v>-0</v>
      </c>
      <c r="L27" s="12" t="n">
        <f aca="false">IF(SAIDA!F27="",SAIDA!E27,SAIDA!L27)</f>
        <v>-0</v>
      </c>
      <c r="N27" s="7"/>
      <c r="P27" s="7"/>
    </row>
    <row r="28" customFormat="false" ht="13.5" hidden="false" customHeight="true" outlineLevel="0" collapsed="false">
      <c r="A28" s="8" t="n">
        <f aca="false">PRODUTOS!A28</f>
        <v>26891</v>
      </c>
      <c r="B28" s="8" t="str">
        <f aca="false">PRODUTOS!B28</f>
        <v>GKC18DA-D6DNAN1A/I</v>
      </c>
      <c r="C28" s="7"/>
      <c r="D28" s="7"/>
      <c r="E28" s="7"/>
      <c r="F28" s="7"/>
      <c r="G28" s="8" t="str">
        <f aca="false">PRODUTOS!C28</f>
        <v>EVAP. GREE K-7 1 VIA</v>
      </c>
      <c r="H28" s="8" t="str">
        <f aca="false">PRODUTOS!D28</f>
        <v>GREE</v>
      </c>
      <c r="I28" s="9" t="str">
        <f aca="false">IF(SAIDA!F28="",SAIDA!B28,SAIDA!F28)</f>
        <v/>
      </c>
      <c r="J28" s="10" t="str">
        <f aca="false">IF(SAIDA!F28="",SAIDA!C28,SAIDA!J28)</f>
        <v/>
      </c>
      <c r="K28" s="11" t="str">
        <f aca="false">IF(SAIDA!F28="",SAIDA!D28,SAIDA!K28)</f>
        <v/>
      </c>
      <c r="L28" s="12" t="str">
        <f aca="false">IF(SAIDA!F28="",SAIDA!E28,SAIDA!L28)</f>
        <v/>
      </c>
      <c r="N28" s="7"/>
      <c r="P28" s="7"/>
    </row>
    <row r="29" customFormat="false" ht="13.5" hidden="false" customHeight="true" outlineLevel="0" collapsed="false">
      <c r="A29" s="8" t="n">
        <f aca="false">PRODUTOS!A29</f>
        <v>26834</v>
      </c>
      <c r="B29" s="8" t="str">
        <f aca="false">PRODUTOS!B29</f>
        <v>TD01</v>
      </c>
      <c r="C29" s="7"/>
      <c r="D29" s="7"/>
      <c r="E29" s="7"/>
      <c r="F29" s="7"/>
      <c r="G29" s="8" t="str">
        <f aca="false">PRODUTOS!C29</f>
        <v>PAINEL K-7 1 VIA</v>
      </c>
      <c r="H29" s="8" t="str">
        <f aca="false">PRODUTOS!D29</f>
        <v>GREE</v>
      </c>
      <c r="I29" s="9" t="str">
        <f aca="false">IF(SAIDA!F29="",SAIDA!B29,SAIDA!F29)</f>
        <v/>
      </c>
      <c r="J29" s="10" t="str">
        <f aca="false">IF(SAIDA!F29="",SAIDA!C29,SAIDA!J29)</f>
        <v/>
      </c>
      <c r="K29" s="11" t="str">
        <f aca="false">IF(SAIDA!F29="",SAIDA!D29,SAIDA!K29)</f>
        <v/>
      </c>
      <c r="L29" s="12" t="str">
        <f aca="false">IF(SAIDA!F29="",SAIDA!E29,SAIDA!L29)</f>
        <v/>
      </c>
      <c r="N29" s="7"/>
      <c r="P29" s="7"/>
    </row>
    <row r="30" customFormat="false" ht="13.5" hidden="false" customHeight="true" outlineLevel="0" collapsed="false">
      <c r="A30" s="8" t="n">
        <f aca="false">PRODUTOS!A30</f>
        <v>26892</v>
      </c>
      <c r="B30" s="8" t="str">
        <f aca="false">PRODUTOS!B30</f>
        <v>GWC24ATB-D6DNA2AK/O</v>
      </c>
      <c r="C30" s="7"/>
      <c r="D30" s="7"/>
      <c r="E30" s="7"/>
      <c r="F30" s="7"/>
      <c r="G30" s="8" t="str">
        <f aca="false">PRODUTOS!C30</f>
        <v>CONDENSADOR GREE K-7 1 VIA - BARRIL</v>
      </c>
      <c r="H30" s="8" t="str">
        <f aca="false">PRODUTOS!D30</f>
        <v>GREE</v>
      </c>
      <c r="I30" s="9" t="n">
        <f aca="false">IF(SAIDA!F30="",SAIDA!B30,SAIDA!F30)</f>
        <v>7450</v>
      </c>
      <c r="J30" s="10" t="n">
        <f aca="false">IF(SAIDA!F30="",SAIDA!C30,SAIDA!J30)</f>
        <v>-0</v>
      </c>
      <c r="K30" s="11" t="n">
        <f aca="false">IF(SAIDA!F30="",SAIDA!D30,SAIDA!K30)</f>
        <v>-0</v>
      </c>
      <c r="L30" s="12" t="n">
        <f aca="false">IF(SAIDA!F30="",SAIDA!E30,SAIDA!L30)</f>
        <v>-0</v>
      </c>
      <c r="N30" s="7"/>
      <c r="P30" s="7"/>
    </row>
    <row r="31" customFormat="false" ht="13.5" hidden="false" customHeight="true" outlineLevel="0" collapsed="false">
      <c r="A31" s="8" t="n">
        <f aca="false">PRODUTOS!A31</f>
        <v>26893</v>
      </c>
      <c r="B31" s="8" t="str">
        <f aca="false">PRODUTOS!B31</f>
        <v>GKC24DA-D6DNAN1A/I</v>
      </c>
      <c r="C31" s="7"/>
      <c r="D31" s="7"/>
      <c r="E31" s="7"/>
      <c r="F31" s="7"/>
      <c r="G31" s="8" t="str">
        <f aca="false">PRODUTOS!C31</f>
        <v>EVAP. GREE K-7 1 VIA</v>
      </c>
      <c r="H31" s="8" t="str">
        <f aca="false">PRODUTOS!D31</f>
        <v>GREE</v>
      </c>
      <c r="I31" s="9" t="str">
        <f aca="false">IF(SAIDA!F31="",SAIDA!B31,SAIDA!F31)</f>
        <v/>
      </c>
      <c r="J31" s="10" t="str">
        <f aca="false">IF(SAIDA!F31="",SAIDA!C31,SAIDA!J31)</f>
        <v/>
      </c>
      <c r="K31" s="11" t="str">
        <f aca="false">IF(SAIDA!F31="",SAIDA!D31,SAIDA!K31)</f>
        <v/>
      </c>
      <c r="L31" s="12" t="str">
        <f aca="false">IF(SAIDA!F31="",SAIDA!E31,SAIDA!L31)</f>
        <v/>
      </c>
      <c r="N31" s="7"/>
      <c r="P31" s="7"/>
    </row>
    <row r="32" customFormat="false" ht="13.5" hidden="false" customHeight="true" outlineLevel="0" collapsed="false">
      <c r="A32" s="8" t="n">
        <f aca="false">PRODUTOS!A32</f>
        <v>26834</v>
      </c>
      <c r="B32" s="8" t="str">
        <f aca="false">PRODUTOS!B32</f>
        <v>TD01</v>
      </c>
      <c r="C32" s="7"/>
      <c r="D32" s="7"/>
      <c r="E32" s="7"/>
      <c r="F32" s="7"/>
      <c r="G32" s="8" t="str">
        <f aca="false">PRODUTOS!C32</f>
        <v>PAINEL K-7 1 VIA</v>
      </c>
      <c r="H32" s="8" t="str">
        <f aca="false">PRODUTOS!D32</f>
        <v>GREE</v>
      </c>
      <c r="I32" s="9" t="str">
        <f aca="false">IF(SAIDA!F32="",SAIDA!B32,SAIDA!F32)</f>
        <v/>
      </c>
      <c r="J32" s="10" t="str">
        <f aca="false">IF(SAIDA!F32="",SAIDA!C32,SAIDA!J32)</f>
        <v/>
      </c>
      <c r="K32" s="11" t="str">
        <f aca="false">IF(SAIDA!F32="",SAIDA!D32,SAIDA!K32)</f>
        <v/>
      </c>
      <c r="L32" s="12" t="str">
        <f aca="false">IF(SAIDA!F32="",SAIDA!E32,SAIDA!L32)</f>
        <v/>
      </c>
      <c r="N32" s="7"/>
      <c r="P32" s="7"/>
    </row>
    <row r="33" customFormat="false" ht="13.5" hidden="false" customHeight="true" outlineLevel="0" collapsed="false">
      <c r="A33" s="8" t="n">
        <f aca="false">PRODUTOS!A33</f>
        <v>25721</v>
      </c>
      <c r="B33" s="8" t="str">
        <f aca="false">PRODUTOS!B33</f>
        <v>GULD24W1</v>
      </c>
      <c r="C33" s="7"/>
      <c r="D33" s="7"/>
      <c r="E33" s="7"/>
      <c r="F33" s="7"/>
      <c r="G33" s="8" t="str">
        <f aca="false">PRODUTOS!C33</f>
        <v>G-PRIME PLUS  - HORIZONTAL</v>
      </c>
      <c r="H33" s="8" t="str">
        <f aca="false">PRODUTOS!D33</f>
        <v>GREE</v>
      </c>
      <c r="I33" s="9" t="n">
        <f aca="false">IF(SAIDA!F33="",SAIDA!B33,SAIDA!F33)</f>
        <v>7123</v>
      </c>
      <c r="J33" s="10" t="n">
        <f aca="false">IF(SAIDA!F33="",SAIDA!C33,SAIDA!J33)</f>
        <v>7732.4</v>
      </c>
      <c r="K33" s="11" t="n">
        <f aca="false">IF(SAIDA!F33="",SAIDA!D33,SAIDA!K33)</f>
        <v>8051.79</v>
      </c>
      <c r="L33" s="12" t="n">
        <f aca="false">IF(SAIDA!F33="",SAIDA!E33,SAIDA!L33)</f>
        <v>8839.26</v>
      </c>
      <c r="N33" s="7"/>
      <c r="P33" s="7"/>
    </row>
    <row r="34" customFormat="false" ht="13.5" hidden="false" customHeight="true" outlineLevel="0" collapsed="false">
      <c r="A34" s="8" t="n">
        <f aca="false">PRODUTOS!A34</f>
        <v>25720</v>
      </c>
      <c r="B34" s="8" t="str">
        <f aca="false">PRODUTOS!B34</f>
        <v>GULD24T1</v>
      </c>
      <c r="C34" s="7"/>
      <c r="D34" s="7"/>
      <c r="E34" s="7"/>
      <c r="F34" s="7"/>
      <c r="G34" s="8" t="str">
        <f aca="false">PRODUTOS!C34</f>
        <v>R-32</v>
      </c>
      <c r="H34" s="8" t="str">
        <f aca="false">PRODUTOS!D34</f>
        <v>GREE</v>
      </c>
      <c r="I34" s="9" t="str">
        <f aca="false">IF(SAIDA!F34="",SAIDA!B34,SAIDA!F34)</f>
        <v/>
      </c>
      <c r="J34" s="10" t="str">
        <f aca="false">IF(SAIDA!F34="",SAIDA!C34,SAIDA!J34)</f>
        <v/>
      </c>
      <c r="K34" s="11" t="str">
        <f aca="false">IF(SAIDA!F34="",SAIDA!D34,SAIDA!K34)</f>
        <v/>
      </c>
      <c r="L34" s="12" t="str">
        <f aca="false">IF(SAIDA!F34="",SAIDA!E34,SAIDA!L34)</f>
        <v/>
      </c>
      <c r="N34" s="7"/>
      <c r="P34" s="7"/>
    </row>
    <row r="35" customFormat="false" ht="13.5" hidden="false" customHeight="true" outlineLevel="0" collapsed="false">
      <c r="A35" s="8" t="n">
        <f aca="false">PRODUTOS!A35</f>
        <v>25722</v>
      </c>
      <c r="B35" s="8" t="str">
        <f aca="false">PRODUTOS!B35</f>
        <v>TF06/24 (TL10000220)</v>
      </c>
      <c r="C35" s="7"/>
      <c r="D35" s="7"/>
      <c r="E35" s="7"/>
      <c r="F35" s="7"/>
      <c r="G35" s="8" t="n">
        <f aca="false">PRODUTOS!C35</f>
        <v>0</v>
      </c>
      <c r="H35" s="8" t="str">
        <f aca="false">PRODUTOS!D35</f>
        <v>GREE</v>
      </c>
      <c r="I35" s="9" t="str">
        <f aca="false">IF(SAIDA!F35="",SAIDA!B35,SAIDA!F35)</f>
        <v/>
      </c>
      <c r="J35" s="10" t="str">
        <f aca="false">IF(SAIDA!F35="",SAIDA!C35,SAIDA!J35)</f>
        <v/>
      </c>
      <c r="K35" s="11" t="str">
        <f aca="false">IF(SAIDA!F35="",SAIDA!D35,SAIDA!K35)</f>
        <v/>
      </c>
      <c r="L35" s="12" t="str">
        <f aca="false">IF(SAIDA!F35="",SAIDA!E35,SAIDA!L35)</f>
        <v/>
      </c>
      <c r="N35" s="7"/>
      <c r="P35" s="7"/>
    </row>
    <row r="36" customFormat="false" ht="13.5" hidden="false" customHeight="true" outlineLevel="0" collapsed="false">
      <c r="A36" s="8" t="n">
        <f aca="false">PRODUTOS!A36</f>
        <v>25937</v>
      </c>
      <c r="B36" s="8" t="str">
        <f aca="false">PRODUTOS!B36</f>
        <v>GULD24W1</v>
      </c>
      <c r="C36" s="7"/>
      <c r="D36" s="7"/>
      <c r="E36" s="7"/>
      <c r="F36" s="7"/>
      <c r="G36" s="8" t="str">
        <f aca="false">PRODUTOS!C36</f>
        <v>G-PRIME COMPACTA - HORIZONTAL</v>
      </c>
      <c r="H36" s="8" t="str">
        <f aca="false">PRODUTOS!D36</f>
        <v>GREE</v>
      </c>
      <c r="I36" s="9" t="n">
        <f aca="false">IF(SAIDA!F36="",SAIDA!B36,SAIDA!F36)</f>
        <v>7123</v>
      </c>
      <c r="J36" s="10" t="n">
        <f aca="false">IF(SAIDA!F36="",SAIDA!C36,SAIDA!J36)</f>
        <v>7732.4</v>
      </c>
      <c r="K36" s="11" t="n">
        <f aca="false">IF(SAIDA!F36="",SAIDA!D36,SAIDA!K36)</f>
        <v>8051.79</v>
      </c>
      <c r="L36" s="12" t="n">
        <f aca="false">IF(SAIDA!F36="",SAIDA!E36,SAIDA!L36)</f>
        <v>8839.26</v>
      </c>
      <c r="N36" s="7"/>
      <c r="P36" s="7"/>
    </row>
    <row r="37" customFormat="false" ht="13.5" hidden="false" customHeight="true" outlineLevel="0" collapsed="false">
      <c r="A37" s="8" t="n">
        <f aca="false">PRODUTOS!A37</f>
        <v>25936</v>
      </c>
      <c r="B37" s="8" t="str">
        <f aca="false">PRODUTOS!B37</f>
        <v>GULD24T1</v>
      </c>
      <c r="C37" s="7"/>
      <c r="D37" s="7"/>
      <c r="E37" s="7"/>
      <c r="F37" s="7"/>
      <c r="G37" s="8" t="str">
        <f aca="false">PRODUTOS!C37</f>
        <v>R-32</v>
      </c>
      <c r="H37" s="8" t="str">
        <f aca="false">PRODUTOS!D37</f>
        <v>GREE</v>
      </c>
      <c r="I37" s="9" t="str">
        <f aca="false">IF(SAIDA!F37="",SAIDA!B37,SAIDA!F37)</f>
        <v/>
      </c>
      <c r="J37" s="10" t="str">
        <f aca="false">IF(SAIDA!F37="",SAIDA!C37,SAIDA!J37)</f>
        <v/>
      </c>
      <c r="K37" s="11" t="str">
        <f aca="false">IF(SAIDA!F37="",SAIDA!D37,SAIDA!K37)</f>
        <v/>
      </c>
      <c r="L37" s="12" t="str">
        <f aca="false">IF(SAIDA!F37="",SAIDA!E37,SAIDA!L37)</f>
        <v/>
      </c>
      <c r="N37" s="7"/>
      <c r="P37" s="7"/>
    </row>
    <row r="38" customFormat="false" ht="13.5" hidden="false" customHeight="true" outlineLevel="0" collapsed="false">
      <c r="A38" s="8" t="n">
        <f aca="false">PRODUTOS!A38</f>
        <v>25938</v>
      </c>
      <c r="B38" s="8" t="str">
        <f aca="false">PRODUTOS!B38</f>
        <v>TF06 /24 (TL10000220)</v>
      </c>
      <c r="C38" s="7"/>
      <c r="D38" s="7"/>
      <c r="E38" s="7"/>
      <c r="F38" s="7"/>
      <c r="G38" s="8" t="n">
        <f aca="false">PRODUTOS!C38</f>
        <v>0</v>
      </c>
      <c r="H38" s="8" t="str">
        <f aca="false">PRODUTOS!D38</f>
        <v>GREE</v>
      </c>
      <c r="I38" s="9" t="str">
        <f aca="false">IF(SAIDA!F38="",SAIDA!B38,SAIDA!F38)</f>
        <v/>
      </c>
      <c r="J38" s="10" t="str">
        <f aca="false">IF(SAIDA!F38="",SAIDA!C38,SAIDA!J38)</f>
        <v/>
      </c>
      <c r="K38" s="11" t="str">
        <f aca="false">IF(SAIDA!F38="",SAIDA!D38,SAIDA!K38)</f>
        <v/>
      </c>
      <c r="L38" s="12" t="str">
        <f aca="false">IF(SAIDA!F38="",SAIDA!E38,SAIDA!L38)</f>
        <v/>
      </c>
      <c r="N38" s="7"/>
      <c r="P38" s="7"/>
    </row>
    <row r="39" customFormat="false" ht="13.5" hidden="false" customHeight="true" outlineLevel="0" collapsed="false">
      <c r="A39" s="8" t="n">
        <f aca="false">PRODUTOS!A39</f>
        <v>25930</v>
      </c>
      <c r="B39" s="8" t="str">
        <f aca="false">PRODUTOS!B39</f>
        <v>GULD36W1</v>
      </c>
      <c r="C39" s="7"/>
      <c r="D39" s="7"/>
      <c r="E39" s="7"/>
      <c r="F39" s="7"/>
      <c r="G39" s="8" t="str">
        <f aca="false">PRODUTOS!C39</f>
        <v>G-PRIME COMPACTA - HORIZONTAL</v>
      </c>
      <c r="H39" s="8" t="str">
        <f aca="false">PRODUTOS!D39</f>
        <v>GREE</v>
      </c>
      <c r="I39" s="9" t="n">
        <f aca="false">IF(SAIDA!F39="",SAIDA!B39,SAIDA!F39)</f>
        <v>9730</v>
      </c>
      <c r="J39" s="10" t="n">
        <f aca="false">IF(SAIDA!F39="",SAIDA!C39,SAIDA!J39)</f>
        <v>10458.87</v>
      </c>
      <c r="K39" s="11" t="n">
        <f aca="false">IF(SAIDA!F39="",SAIDA!D39,SAIDA!K39)</f>
        <v>10835.18</v>
      </c>
      <c r="L39" s="12" t="n">
        <f aca="false">IF(SAIDA!F39="",SAIDA!E39,SAIDA!L39)</f>
        <v>11746.79</v>
      </c>
      <c r="N39" s="7"/>
      <c r="P39" s="7"/>
    </row>
    <row r="40" customFormat="false" ht="13.5" hidden="false" customHeight="true" outlineLevel="0" collapsed="false">
      <c r="A40" s="8" t="n">
        <f aca="false">PRODUTOS!A40</f>
        <v>25929</v>
      </c>
      <c r="B40" s="8" t="str">
        <f aca="false">PRODUTOS!B40</f>
        <v>GULD36T1</v>
      </c>
      <c r="C40" s="7"/>
      <c r="D40" s="7"/>
      <c r="E40" s="7"/>
      <c r="F40" s="7"/>
      <c r="G40" s="8" t="str">
        <f aca="false">PRODUTOS!C40</f>
        <v>R-32</v>
      </c>
      <c r="H40" s="8" t="str">
        <f aca="false">PRODUTOS!D40</f>
        <v>GREE</v>
      </c>
      <c r="I40" s="9" t="str">
        <f aca="false">IF(SAIDA!F40="",SAIDA!B40,SAIDA!F40)</f>
        <v/>
      </c>
      <c r="J40" s="10" t="str">
        <f aca="false">IF(SAIDA!F40="",SAIDA!C40,SAIDA!J40)</f>
        <v/>
      </c>
      <c r="K40" s="11" t="str">
        <f aca="false">IF(SAIDA!F40="",SAIDA!D40,SAIDA!K40)</f>
        <v/>
      </c>
      <c r="L40" s="12" t="str">
        <f aca="false">IF(SAIDA!F40="",SAIDA!E40,SAIDA!L40)</f>
        <v/>
      </c>
      <c r="N40" s="7"/>
      <c r="P40" s="7"/>
    </row>
    <row r="41" customFormat="false" ht="13.5" hidden="false" customHeight="true" outlineLevel="0" collapsed="false">
      <c r="A41" s="8" t="n">
        <f aca="false">PRODUTOS!A41</f>
        <v>25931</v>
      </c>
      <c r="B41" s="8" t="str">
        <f aca="false">PRODUTOS!B41</f>
        <v>TF06 /36 (TL10000220)</v>
      </c>
      <c r="C41" s="7"/>
      <c r="D41" s="7"/>
      <c r="E41" s="7"/>
      <c r="F41" s="7"/>
      <c r="G41" s="8" t="n">
        <f aca="false">PRODUTOS!C41</f>
        <v>0</v>
      </c>
      <c r="H41" s="8" t="str">
        <f aca="false">PRODUTOS!D41</f>
        <v>GREE</v>
      </c>
      <c r="I41" s="9" t="str">
        <f aca="false">IF(SAIDA!F41="",SAIDA!B41,SAIDA!F41)</f>
        <v/>
      </c>
      <c r="J41" s="10" t="str">
        <f aca="false">IF(SAIDA!F41="",SAIDA!C41,SAIDA!J41)</f>
        <v/>
      </c>
      <c r="K41" s="11" t="str">
        <f aca="false">IF(SAIDA!F41="",SAIDA!D41,SAIDA!K41)</f>
        <v/>
      </c>
      <c r="L41" s="12" t="str">
        <f aca="false">IF(SAIDA!F41="",SAIDA!E41,SAIDA!L41)</f>
        <v/>
      </c>
      <c r="N41" s="7"/>
      <c r="P41" s="7"/>
    </row>
    <row r="42" customFormat="false" ht="13.5" hidden="false" customHeight="true" outlineLevel="0" collapsed="false">
      <c r="A42" s="8" t="n">
        <f aca="false">PRODUTOS!A42</f>
        <v>25924</v>
      </c>
      <c r="B42" s="8" t="str">
        <f aca="false">PRODUTOS!B42</f>
        <v>GULD56W1</v>
      </c>
      <c r="C42" s="7"/>
      <c r="D42" s="7"/>
      <c r="E42" s="7"/>
      <c r="F42" s="7"/>
      <c r="G42" s="8" t="str">
        <f aca="false">PRODUTOS!C42</f>
        <v>G-PRIME COMPACTA - HORIZONTAL</v>
      </c>
      <c r="H42" s="8" t="str">
        <f aca="false">PRODUTOS!D42</f>
        <v>GREE</v>
      </c>
      <c r="I42" s="9" t="n">
        <f aca="false">IF(SAIDA!F42="",SAIDA!B42,SAIDA!F42)</f>
        <v>11630</v>
      </c>
      <c r="J42" s="10" t="n">
        <f aca="false">IF(SAIDA!F42="",SAIDA!C42,SAIDA!J42)</f>
        <v>38024.68</v>
      </c>
      <c r="K42" s="11" t="n">
        <f aca="false">IF(SAIDA!F42="",SAIDA!D42,SAIDA!K42)</f>
        <v>-727905.45</v>
      </c>
      <c r="L42" s="12" t="n">
        <f aca="false">IF(SAIDA!F42="",SAIDA!E42,SAIDA!L42)</f>
        <v>-16377.44</v>
      </c>
      <c r="N42" s="7"/>
      <c r="P42" s="7"/>
    </row>
    <row r="43" customFormat="false" ht="13.5" hidden="false" customHeight="true" outlineLevel="0" collapsed="false">
      <c r="A43" s="8" t="n">
        <f aca="false">PRODUTOS!A43</f>
        <v>25923</v>
      </c>
      <c r="B43" s="8" t="str">
        <f aca="false">PRODUTOS!B43</f>
        <v>GULD56T1</v>
      </c>
      <c r="C43" s="7"/>
      <c r="D43" s="7"/>
      <c r="E43" s="7"/>
      <c r="F43" s="7"/>
      <c r="G43" s="8" t="str">
        <f aca="false">PRODUTOS!C43</f>
        <v>R-32</v>
      </c>
      <c r="H43" s="8" t="str">
        <f aca="false">PRODUTOS!D43</f>
        <v>GREE</v>
      </c>
      <c r="I43" s="9" t="str">
        <f aca="false">IF(SAIDA!F43="",SAIDA!B43,SAIDA!F43)</f>
        <v/>
      </c>
      <c r="J43" s="10" t="str">
        <f aca="false">IF(SAIDA!F43="",SAIDA!C43,SAIDA!J43)</f>
        <v/>
      </c>
      <c r="K43" s="11" t="str">
        <f aca="false">IF(SAIDA!F43="",SAIDA!D43,SAIDA!K43)</f>
        <v/>
      </c>
      <c r="L43" s="12" t="str">
        <f aca="false">IF(SAIDA!F43="",SAIDA!E43,SAIDA!L43)</f>
        <v/>
      </c>
      <c r="N43" s="7"/>
      <c r="P43" s="7"/>
    </row>
    <row r="44" customFormat="false" ht="13.5" hidden="false" customHeight="true" outlineLevel="0" collapsed="false">
      <c r="A44" s="8" t="n">
        <f aca="false">PRODUTOS!A44</f>
        <v>25925</v>
      </c>
      <c r="B44" s="8" t="str">
        <f aca="false">PRODUTOS!B44</f>
        <v>TF06 /56 (TL10000220)</v>
      </c>
      <c r="C44" s="7"/>
      <c r="D44" s="7"/>
      <c r="E44" s="7"/>
      <c r="F44" s="7"/>
      <c r="G44" s="8" t="n">
        <f aca="false">PRODUTOS!C44</f>
        <v>0</v>
      </c>
      <c r="H44" s="8" t="str">
        <f aca="false">PRODUTOS!D44</f>
        <v>GREE</v>
      </c>
      <c r="I44" s="9" t="str">
        <f aca="false">IF(SAIDA!F44="",SAIDA!B44,SAIDA!F44)</f>
        <v/>
      </c>
      <c r="J44" s="10" t="str">
        <f aca="false">IF(SAIDA!F44="",SAIDA!C44,SAIDA!J44)</f>
        <v/>
      </c>
      <c r="K44" s="11" t="str">
        <f aca="false">IF(SAIDA!F44="",SAIDA!D44,SAIDA!K44)</f>
        <v/>
      </c>
      <c r="L44" s="12" t="str">
        <f aca="false">IF(SAIDA!F44="",SAIDA!E44,SAIDA!L44)</f>
        <v/>
      </c>
      <c r="N44" s="7"/>
      <c r="P44" s="7"/>
    </row>
    <row r="45" customFormat="false" ht="13.5" hidden="false" customHeight="true" outlineLevel="0" collapsed="false">
      <c r="A45" s="8" t="n">
        <f aca="false">PRODUTOS!A45</f>
        <v>23392</v>
      </c>
      <c r="B45" s="8" t="str">
        <f aca="false">PRODUTOS!B45</f>
        <v>GUL36H/A</v>
      </c>
      <c r="C45" s="7"/>
      <c r="D45" s="7"/>
      <c r="E45" s="7"/>
      <c r="F45" s="7"/>
      <c r="G45" s="8" t="str">
        <f aca="false">PRODUTOS!C45</f>
        <v>SELO PROCEL A - BARRIL 220V-1 F-60HZ</v>
      </c>
      <c r="H45" s="8" t="str">
        <f aca="false">PRODUTOS!D45</f>
        <v>GREE</v>
      </c>
      <c r="I45" s="9" t="n">
        <f aca="false">IF(SAIDA!F45="",SAIDA!B45,SAIDA!F45)</f>
        <v>6500</v>
      </c>
      <c r="J45" s="10" t="n">
        <f aca="false">IF(SAIDA!F45="",SAIDA!C45,SAIDA!J45)</f>
        <v>-0</v>
      </c>
      <c r="K45" s="11" t="n">
        <f aca="false">IF(SAIDA!F45="",SAIDA!D45,SAIDA!K45)</f>
        <v>-0</v>
      </c>
      <c r="L45" s="12" t="n">
        <f aca="false">IF(SAIDA!F45="",SAIDA!E45,SAIDA!L45)</f>
        <v>-0</v>
      </c>
      <c r="N45" s="7"/>
      <c r="P45" s="7"/>
    </row>
    <row r="46" customFormat="false" ht="13.5" hidden="false" customHeight="true" outlineLevel="0" collapsed="false">
      <c r="A46" s="8" t="n">
        <f aca="false">PRODUTOS!A46</f>
        <v>23391</v>
      </c>
      <c r="B46" s="8" t="str">
        <f aca="false">PRODUTOS!B46</f>
        <v>GU36ZDA</v>
      </c>
      <c r="C46" s="7"/>
      <c r="D46" s="7"/>
      <c r="E46" s="7"/>
      <c r="F46" s="7"/>
      <c r="G46" s="8" t="n">
        <f aca="false">PRODUTOS!C46</f>
        <v>0</v>
      </c>
      <c r="H46" s="8" t="str">
        <f aca="false">PRODUTOS!D46</f>
        <v>GREE</v>
      </c>
      <c r="I46" s="9" t="str">
        <f aca="false">IF(SAIDA!F46="",SAIDA!B46,SAIDA!F46)</f>
        <v/>
      </c>
      <c r="J46" s="10" t="str">
        <f aca="false">IF(SAIDA!F46="",SAIDA!C46,SAIDA!J46)</f>
        <v/>
      </c>
      <c r="K46" s="11" t="str">
        <f aca="false">IF(SAIDA!F46="",SAIDA!D46,SAIDA!K46)</f>
        <v/>
      </c>
      <c r="L46" s="12" t="str">
        <f aca="false">IF(SAIDA!F46="",SAIDA!E46,SAIDA!L46)</f>
        <v/>
      </c>
      <c r="N46" s="7"/>
      <c r="P46" s="7"/>
    </row>
    <row r="47" customFormat="false" ht="13.5" hidden="false" customHeight="true" outlineLevel="0" collapsed="false">
      <c r="A47" s="8" t="n">
        <f aca="false">PRODUTOS!A47</f>
        <v>0</v>
      </c>
      <c r="B47" s="8" t="n">
        <f aca="false">PRODUTOS!B47</f>
        <v>0</v>
      </c>
      <c r="C47" s="7"/>
      <c r="D47" s="7"/>
      <c r="E47" s="7"/>
      <c r="F47" s="7"/>
      <c r="G47" s="8" t="n">
        <f aca="false">PRODUTOS!C47</f>
        <v>0</v>
      </c>
      <c r="H47" s="8" t="n">
        <f aca="false">PRODUTOS!D47</f>
        <v>0</v>
      </c>
      <c r="I47" s="9" t="str">
        <f aca="false">IF(SAIDA!F47="",SAIDA!B47,SAIDA!F47)</f>
        <v/>
      </c>
      <c r="J47" s="10" t="str">
        <f aca="false">IF(SAIDA!F47="",SAIDA!C47,SAIDA!J47)</f>
        <v/>
      </c>
      <c r="K47" s="11" t="str">
        <f aca="false">IF(SAIDA!F47="",SAIDA!D47,SAIDA!K47)</f>
        <v/>
      </c>
      <c r="L47" s="12" t="str">
        <f aca="false">IF(SAIDA!F47="",SAIDA!E47,SAIDA!L47)</f>
        <v/>
      </c>
      <c r="N47" s="7"/>
      <c r="P47" s="7"/>
    </row>
    <row r="48" customFormat="false" ht="13.5" hidden="false" customHeight="true" outlineLevel="0" collapsed="false">
      <c r="A48" s="8" t="n">
        <f aca="false">PRODUTOS!A48</f>
        <v>0</v>
      </c>
      <c r="B48" s="8" t="n">
        <f aca="false">PRODUTOS!B48</f>
        <v>0</v>
      </c>
      <c r="C48" s="7"/>
      <c r="D48" s="7"/>
      <c r="E48" s="7"/>
      <c r="F48" s="7"/>
      <c r="G48" s="8" t="n">
        <f aca="false">PRODUTOS!C48</f>
        <v>0</v>
      </c>
      <c r="H48" s="8" t="n">
        <f aca="false">PRODUTOS!D48</f>
        <v>0</v>
      </c>
      <c r="I48" s="9" t="str">
        <f aca="false">IF(SAIDA!F48="",SAIDA!B48,SAIDA!F48)</f>
        <v/>
      </c>
      <c r="J48" s="10" t="str">
        <f aca="false">IF(SAIDA!F48="",SAIDA!C48,SAIDA!J48)</f>
        <v/>
      </c>
      <c r="K48" s="11" t="str">
        <f aca="false">IF(SAIDA!F48="",SAIDA!D48,SAIDA!K48)</f>
        <v/>
      </c>
      <c r="L48" s="12" t="str">
        <f aca="false">IF(SAIDA!F48="",SAIDA!E48,SAIDA!L48)</f>
        <v/>
      </c>
      <c r="N48" s="7"/>
      <c r="P48" s="7"/>
    </row>
    <row r="49" customFormat="false" ht="13.5" hidden="false" customHeight="true" outlineLevel="0" collapsed="false">
      <c r="A49" s="8" t="n">
        <f aca="false">PRODUTOS!A49</f>
        <v>0</v>
      </c>
      <c r="B49" s="8" t="n">
        <f aca="false">PRODUTOS!B49</f>
        <v>0</v>
      </c>
      <c r="C49" s="7"/>
      <c r="D49" s="7"/>
      <c r="E49" s="7"/>
      <c r="F49" s="7"/>
      <c r="G49" s="8" t="n">
        <f aca="false">PRODUTOS!C49</f>
        <v>0</v>
      </c>
      <c r="H49" s="8" t="n">
        <f aca="false">PRODUTOS!D49</f>
        <v>0</v>
      </c>
      <c r="I49" s="9" t="str">
        <f aca="false">IF(SAIDA!F49="",SAIDA!B49,SAIDA!F49)</f>
        <v/>
      </c>
      <c r="J49" s="10" t="str">
        <f aca="false">IF(SAIDA!F49="",SAIDA!C49,SAIDA!J49)</f>
        <v/>
      </c>
      <c r="K49" s="11" t="str">
        <f aca="false">IF(SAIDA!F49="",SAIDA!D49,SAIDA!K49)</f>
        <v/>
      </c>
      <c r="L49" s="12" t="str">
        <f aca="false">IF(SAIDA!F49="",SAIDA!E49,SAIDA!L49)</f>
        <v/>
      </c>
      <c r="N49" s="7"/>
      <c r="P49" s="7"/>
    </row>
    <row r="50" customFormat="false" ht="13.5" hidden="false" customHeight="true" outlineLevel="0" collapsed="false">
      <c r="A50" s="8" t="n">
        <f aca="false">PRODUTOS!A50</f>
        <v>0</v>
      </c>
      <c r="B50" s="8" t="n">
        <f aca="false">PRODUTOS!B50</f>
        <v>0</v>
      </c>
      <c r="C50" s="7"/>
      <c r="D50" s="7"/>
      <c r="E50" s="7"/>
      <c r="F50" s="7"/>
      <c r="G50" s="8" t="n">
        <f aca="false">PRODUTOS!C50</f>
        <v>0</v>
      </c>
      <c r="H50" s="8" t="n">
        <f aca="false">PRODUTOS!D50</f>
        <v>0</v>
      </c>
      <c r="I50" s="9" t="str">
        <f aca="false">IF(SAIDA!F50="",SAIDA!B50,SAIDA!F50)</f>
        <v/>
      </c>
      <c r="J50" s="10" t="str">
        <f aca="false">IF(SAIDA!F50="",SAIDA!C50,SAIDA!J50)</f>
        <v/>
      </c>
      <c r="K50" s="11" t="str">
        <f aca="false">IF(SAIDA!F50="",SAIDA!D50,SAIDA!K50)</f>
        <v/>
      </c>
      <c r="L50" s="12" t="str">
        <f aca="false">IF(SAIDA!F50="",SAIDA!E50,SAIDA!L50)</f>
        <v/>
      </c>
      <c r="N50" s="7"/>
      <c r="P50" s="7"/>
    </row>
    <row r="51" customFormat="false" ht="13.5" hidden="false" customHeight="true" outlineLevel="0" collapsed="false">
      <c r="A51" s="8" t="n">
        <f aca="false">PRODUTOS!A51</f>
        <v>0</v>
      </c>
      <c r="B51" s="8" t="n">
        <f aca="false">PRODUTOS!B51</f>
        <v>0</v>
      </c>
      <c r="C51" s="7"/>
      <c r="D51" s="7"/>
      <c r="E51" s="7"/>
      <c r="F51" s="7"/>
      <c r="G51" s="8" t="n">
        <f aca="false">PRODUTOS!C51</f>
        <v>0</v>
      </c>
      <c r="H51" s="8" t="n">
        <f aca="false">PRODUTOS!D51</f>
        <v>0</v>
      </c>
      <c r="I51" s="9" t="str">
        <f aca="false">IF(SAIDA!F51="",SAIDA!B51,SAIDA!F51)</f>
        <v/>
      </c>
      <c r="J51" s="10" t="str">
        <f aca="false">IF(SAIDA!F51="",SAIDA!C51,SAIDA!J51)</f>
        <v/>
      </c>
      <c r="K51" s="11" t="str">
        <f aca="false">IF(SAIDA!F51="",SAIDA!D51,SAIDA!K51)</f>
        <v/>
      </c>
      <c r="L51" s="12" t="str">
        <f aca="false">IF(SAIDA!F51="",SAIDA!E51,SAIDA!L51)</f>
        <v/>
      </c>
      <c r="N51" s="7"/>
      <c r="P51" s="7"/>
    </row>
    <row r="52" customFormat="false" ht="13.5" hidden="false" customHeight="true" outlineLevel="0" collapsed="false">
      <c r="A52" s="8" t="n">
        <f aca="false">PRODUTOS!A52</f>
        <v>0</v>
      </c>
      <c r="B52" s="8" t="n">
        <f aca="false">PRODUTOS!B52</f>
        <v>0</v>
      </c>
      <c r="C52" s="7"/>
      <c r="D52" s="7"/>
      <c r="E52" s="7"/>
      <c r="F52" s="7"/>
      <c r="G52" s="8" t="n">
        <f aca="false">PRODUTOS!C52</f>
        <v>0</v>
      </c>
      <c r="H52" s="8" t="n">
        <f aca="false">PRODUTOS!D52</f>
        <v>0</v>
      </c>
      <c r="I52" s="9" t="str">
        <f aca="false">IF(SAIDA!F52="",SAIDA!B52,SAIDA!F52)</f>
        <v/>
      </c>
      <c r="J52" s="10" t="str">
        <f aca="false">IF(SAIDA!F52="",SAIDA!C52,SAIDA!J52)</f>
        <v/>
      </c>
      <c r="K52" s="11" t="str">
        <f aca="false">IF(SAIDA!F52="",SAIDA!D52,SAIDA!K52)</f>
        <v/>
      </c>
      <c r="L52" s="12" t="str">
        <f aca="false">IF(SAIDA!F52="",SAIDA!E52,SAIDA!L52)</f>
        <v/>
      </c>
      <c r="N52" s="7"/>
      <c r="P52" s="7"/>
    </row>
    <row r="53" customFormat="false" ht="13.5" hidden="false" customHeight="true" outlineLevel="0" collapsed="false">
      <c r="A53" s="8" t="n">
        <f aca="false">PRODUTOS!A53</f>
        <v>0</v>
      </c>
      <c r="B53" s="8" t="n">
        <f aca="false">PRODUTOS!B53</f>
        <v>0</v>
      </c>
      <c r="C53" s="7"/>
      <c r="D53" s="7"/>
      <c r="E53" s="7"/>
      <c r="F53" s="7"/>
      <c r="G53" s="8" t="n">
        <f aca="false">PRODUTOS!C53</f>
        <v>0</v>
      </c>
      <c r="H53" s="8" t="n">
        <f aca="false">PRODUTOS!D53</f>
        <v>0</v>
      </c>
      <c r="I53" s="9" t="str">
        <f aca="false">IF(SAIDA!F53="",SAIDA!B53,SAIDA!F53)</f>
        <v/>
      </c>
      <c r="J53" s="10" t="str">
        <f aca="false">IF(SAIDA!F53="",SAIDA!C53,SAIDA!J53)</f>
        <v/>
      </c>
      <c r="K53" s="11" t="str">
        <f aca="false">IF(SAIDA!F53="",SAIDA!D53,SAIDA!K53)</f>
        <v/>
      </c>
      <c r="L53" s="12" t="str">
        <f aca="false">IF(SAIDA!F53="",SAIDA!E53,SAIDA!L53)</f>
        <v/>
      </c>
      <c r="N53" s="7"/>
      <c r="P53" s="7"/>
    </row>
    <row r="54" customFormat="false" ht="13.5" hidden="false" customHeight="true" outlineLevel="0" collapsed="false">
      <c r="A54" s="8" t="n">
        <f aca="false">PRODUTOS!A54</f>
        <v>0</v>
      </c>
      <c r="B54" s="8" t="n">
        <f aca="false">PRODUTOS!B54</f>
        <v>0</v>
      </c>
      <c r="C54" s="7"/>
      <c r="D54" s="7"/>
      <c r="E54" s="7"/>
      <c r="F54" s="7"/>
      <c r="G54" s="8" t="n">
        <f aca="false">PRODUTOS!C54</f>
        <v>0</v>
      </c>
      <c r="H54" s="8" t="n">
        <f aca="false">PRODUTOS!D54</f>
        <v>0</v>
      </c>
      <c r="I54" s="9" t="str">
        <f aca="false">IF(SAIDA!F54="",SAIDA!B54,SAIDA!F54)</f>
        <v/>
      </c>
      <c r="J54" s="10" t="str">
        <f aca="false">IF(SAIDA!F54="",SAIDA!C54,SAIDA!J54)</f>
        <v/>
      </c>
      <c r="K54" s="11" t="str">
        <f aca="false">IF(SAIDA!F54="",SAIDA!D54,SAIDA!K54)</f>
        <v/>
      </c>
      <c r="L54" s="12" t="str">
        <f aca="false">IF(SAIDA!F54="",SAIDA!E54,SAIDA!L54)</f>
        <v/>
      </c>
      <c r="N54" s="7"/>
      <c r="P54" s="7"/>
    </row>
    <row r="55" customFormat="false" ht="13.5" hidden="false" customHeight="true" outlineLevel="0" collapsed="false">
      <c r="A55" s="8" t="n">
        <f aca="false">PRODUTOS!A55</f>
        <v>0</v>
      </c>
      <c r="B55" s="8" t="n">
        <f aca="false">PRODUTOS!B55</f>
        <v>0</v>
      </c>
      <c r="C55" s="7"/>
      <c r="D55" s="7"/>
      <c r="E55" s="7"/>
      <c r="F55" s="7"/>
      <c r="G55" s="8" t="n">
        <f aca="false">PRODUTOS!C55</f>
        <v>0</v>
      </c>
      <c r="H55" s="8" t="n">
        <f aca="false">PRODUTOS!D55</f>
        <v>0</v>
      </c>
      <c r="I55" s="9" t="str">
        <f aca="false">IF(SAIDA!F55="",SAIDA!B55,SAIDA!F55)</f>
        <v/>
      </c>
      <c r="J55" s="10" t="str">
        <f aca="false">IF(SAIDA!F55="",SAIDA!C55,SAIDA!J55)</f>
        <v/>
      </c>
      <c r="K55" s="11" t="str">
        <f aca="false">IF(SAIDA!F55="",SAIDA!D55,SAIDA!K55)</f>
        <v/>
      </c>
      <c r="L55" s="12" t="str">
        <f aca="false">IF(SAIDA!F55="",SAIDA!E55,SAIDA!L55)</f>
        <v/>
      </c>
      <c r="N55" s="7"/>
      <c r="P55" s="7"/>
    </row>
    <row r="56" customFormat="false" ht="13.5" hidden="false" customHeight="true" outlineLevel="0" collapsed="false">
      <c r="A56" s="8" t="n">
        <f aca="false">PRODUTOS!A56</f>
        <v>0</v>
      </c>
      <c r="B56" s="8" t="n">
        <f aca="false">PRODUTOS!B56</f>
        <v>0</v>
      </c>
      <c r="C56" s="7"/>
      <c r="D56" s="7"/>
      <c r="E56" s="7"/>
      <c r="F56" s="7"/>
      <c r="G56" s="8" t="n">
        <f aca="false">PRODUTOS!C56</f>
        <v>0</v>
      </c>
      <c r="H56" s="8" t="n">
        <f aca="false">PRODUTOS!D56</f>
        <v>0</v>
      </c>
      <c r="I56" s="9" t="str">
        <f aca="false">IF(SAIDA!F56="",SAIDA!B56,SAIDA!F56)</f>
        <v/>
      </c>
      <c r="J56" s="10" t="str">
        <f aca="false">IF(SAIDA!F56="",SAIDA!C56,SAIDA!J56)</f>
        <v/>
      </c>
      <c r="K56" s="11" t="str">
        <f aca="false">IF(SAIDA!F56="",SAIDA!D56,SAIDA!K56)</f>
        <v/>
      </c>
      <c r="L56" s="12" t="str">
        <f aca="false">IF(SAIDA!F56="",SAIDA!E56,SAIDA!L56)</f>
        <v/>
      </c>
      <c r="N56" s="7"/>
      <c r="P56" s="7"/>
    </row>
    <row r="57" customFormat="false" ht="13.5" hidden="false" customHeight="true" outlineLevel="0" collapsed="false">
      <c r="A57" s="8" t="n">
        <f aca="false">PRODUTOS!A57</f>
        <v>0</v>
      </c>
      <c r="B57" s="8" t="n">
        <f aca="false">PRODUTOS!B57</f>
        <v>0</v>
      </c>
      <c r="C57" s="7"/>
      <c r="D57" s="7"/>
      <c r="E57" s="7"/>
      <c r="F57" s="7"/>
      <c r="G57" s="8" t="n">
        <f aca="false">PRODUTOS!C57</f>
        <v>0</v>
      </c>
      <c r="H57" s="8" t="n">
        <f aca="false">PRODUTOS!D57</f>
        <v>0</v>
      </c>
      <c r="I57" s="9" t="str">
        <f aca="false">IF(SAIDA!F57="",SAIDA!B57,SAIDA!F57)</f>
        <v/>
      </c>
      <c r="J57" s="10" t="str">
        <f aca="false">IF(SAIDA!F57="",SAIDA!C57,SAIDA!J57)</f>
        <v/>
      </c>
      <c r="K57" s="11" t="str">
        <f aca="false">IF(SAIDA!F57="",SAIDA!D57,SAIDA!K57)</f>
        <v/>
      </c>
      <c r="L57" s="12" t="str">
        <f aca="false">IF(SAIDA!F57="",SAIDA!E57,SAIDA!L57)</f>
        <v/>
      </c>
      <c r="N57" s="7"/>
      <c r="P57" s="7"/>
    </row>
    <row r="58" customFormat="false" ht="13.5" hidden="false" customHeight="true" outlineLevel="0" collapsed="false">
      <c r="A58" s="8" t="n">
        <f aca="false">PRODUTOS!A58</f>
        <v>0</v>
      </c>
      <c r="B58" s="8" t="n">
        <f aca="false">PRODUTOS!B58</f>
        <v>0</v>
      </c>
      <c r="C58" s="7"/>
      <c r="D58" s="7"/>
      <c r="E58" s="7"/>
      <c r="F58" s="7"/>
      <c r="G58" s="8" t="n">
        <f aca="false">PRODUTOS!C58</f>
        <v>0</v>
      </c>
      <c r="H58" s="8" t="n">
        <f aca="false">PRODUTOS!D58</f>
        <v>0</v>
      </c>
      <c r="I58" s="9" t="str">
        <f aca="false">IF(SAIDA!F58="",SAIDA!B58,SAIDA!F58)</f>
        <v/>
      </c>
      <c r="J58" s="10" t="str">
        <f aca="false">IF(SAIDA!F58="",SAIDA!C58,SAIDA!J58)</f>
        <v/>
      </c>
      <c r="K58" s="11" t="str">
        <f aca="false">IF(SAIDA!F58="",SAIDA!D58,SAIDA!K58)</f>
        <v/>
      </c>
      <c r="L58" s="12" t="str">
        <f aca="false">IF(SAIDA!F58="",SAIDA!E58,SAIDA!L58)</f>
        <v/>
      </c>
      <c r="N58" s="7"/>
      <c r="P58" s="7"/>
    </row>
    <row r="59" customFormat="false" ht="13.5" hidden="false" customHeight="true" outlineLevel="0" collapsed="false">
      <c r="A59" s="8" t="n">
        <f aca="false">PRODUTOS!A59</f>
        <v>0</v>
      </c>
      <c r="B59" s="8" t="n">
        <f aca="false">PRODUTOS!B59</f>
        <v>0</v>
      </c>
      <c r="C59" s="7"/>
      <c r="D59" s="7"/>
      <c r="E59" s="7"/>
      <c r="F59" s="7"/>
      <c r="G59" s="8" t="n">
        <f aca="false">PRODUTOS!C59</f>
        <v>0</v>
      </c>
      <c r="H59" s="8" t="n">
        <f aca="false">PRODUTOS!D59</f>
        <v>0</v>
      </c>
      <c r="I59" s="9" t="str">
        <f aca="false">IF(SAIDA!F59="",SAIDA!B59,SAIDA!F59)</f>
        <v/>
      </c>
      <c r="J59" s="10" t="str">
        <f aca="false">IF(SAIDA!F59="",SAIDA!C59,SAIDA!J59)</f>
        <v/>
      </c>
      <c r="K59" s="11" t="str">
        <f aca="false">IF(SAIDA!F59="",SAIDA!D59,SAIDA!K59)</f>
        <v/>
      </c>
      <c r="L59" s="12" t="str">
        <f aca="false">IF(SAIDA!F59="",SAIDA!E59,SAIDA!L59)</f>
        <v/>
      </c>
      <c r="N59" s="7"/>
      <c r="P59" s="7"/>
    </row>
    <row r="60" customFormat="false" ht="13.5" hidden="false" customHeight="true" outlineLevel="0" collapsed="false">
      <c r="A60" s="8" t="n">
        <f aca="false">PRODUTOS!A60</f>
        <v>0</v>
      </c>
      <c r="B60" s="8" t="n">
        <f aca="false">PRODUTOS!B60</f>
        <v>0</v>
      </c>
      <c r="C60" s="7"/>
      <c r="D60" s="7"/>
      <c r="E60" s="7"/>
      <c r="F60" s="7"/>
      <c r="G60" s="8" t="n">
        <f aca="false">PRODUTOS!C60</f>
        <v>0</v>
      </c>
      <c r="H60" s="8" t="n">
        <f aca="false">PRODUTOS!D60</f>
        <v>0</v>
      </c>
      <c r="I60" s="9" t="str">
        <f aca="false">IF(SAIDA!F60="",SAIDA!B60,SAIDA!F60)</f>
        <v/>
      </c>
      <c r="J60" s="10" t="str">
        <f aca="false">IF(SAIDA!F60="",SAIDA!C60,SAIDA!J60)</f>
        <v/>
      </c>
      <c r="K60" s="11" t="str">
        <f aca="false">IF(SAIDA!F60="",SAIDA!D60,SAIDA!K60)</f>
        <v/>
      </c>
      <c r="L60" s="12" t="str">
        <f aca="false">IF(SAIDA!F60="",SAIDA!E60,SAIDA!L60)</f>
        <v/>
      </c>
      <c r="N60" s="7"/>
      <c r="P60" s="7"/>
    </row>
    <row r="61" customFormat="false" ht="13.5" hidden="false" customHeight="true" outlineLevel="0" collapsed="false">
      <c r="A61" s="8" t="n">
        <f aca="false">PRODUTOS!A61</f>
        <v>0</v>
      </c>
      <c r="B61" s="8" t="n">
        <f aca="false">PRODUTOS!B61</f>
        <v>0</v>
      </c>
      <c r="C61" s="7"/>
      <c r="D61" s="7"/>
      <c r="E61" s="7"/>
      <c r="F61" s="7"/>
      <c r="G61" s="8" t="n">
        <f aca="false">PRODUTOS!C61</f>
        <v>0</v>
      </c>
      <c r="H61" s="8" t="n">
        <f aca="false">PRODUTOS!D61</f>
        <v>0</v>
      </c>
      <c r="I61" s="9" t="str">
        <f aca="false">IF(SAIDA!F61="",SAIDA!B61,SAIDA!F61)</f>
        <v/>
      </c>
      <c r="J61" s="10" t="str">
        <f aca="false">IF(SAIDA!F61="",SAIDA!C61,SAIDA!J61)</f>
        <v/>
      </c>
      <c r="K61" s="11" t="str">
        <f aca="false">IF(SAIDA!F61="",SAIDA!D61,SAIDA!K61)</f>
        <v/>
      </c>
      <c r="L61" s="12" t="str">
        <f aca="false">IF(SAIDA!F61="",SAIDA!E61,SAIDA!L61)</f>
        <v/>
      </c>
      <c r="N61" s="7"/>
      <c r="P61" s="7"/>
    </row>
    <row r="62" customFormat="false" ht="13.5" hidden="false" customHeight="true" outlineLevel="0" collapsed="false">
      <c r="A62" s="8" t="n">
        <f aca="false">PRODUTOS!A62</f>
        <v>0</v>
      </c>
      <c r="B62" s="8" t="n">
        <f aca="false">PRODUTOS!B62</f>
        <v>0</v>
      </c>
      <c r="C62" s="7"/>
      <c r="D62" s="7"/>
      <c r="E62" s="7"/>
      <c r="F62" s="7"/>
      <c r="G62" s="8" t="n">
        <f aca="false">PRODUTOS!C62</f>
        <v>0</v>
      </c>
      <c r="H62" s="8" t="n">
        <f aca="false">PRODUTOS!D62</f>
        <v>0</v>
      </c>
      <c r="I62" s="9" t="str">
        <f aca="false">IF(SAIDA!F62="",SAIDA!B62,SAIDA!F62)</f>
        <v/>
      </c>
      <c r="J62" s="10" t="str">
        <f aca="false">IF(SAIDA!F62="",SAIDA!C62,SAIDA!J62)</f>
        <v/>
      </c>
      <c r="K62" s="11" t="str">
        <f aca="false">IF(SAIDA!F62="",SAIDA!D62,SAIDA!K62)</f>
        <v/>
      </c>
      <c r="L62" s="12" t="str">
        <f aca="false">IF(SAIDA!F62="",SAIDA!E62,SAIDA!L62)</f>
        <v/>
      </c>
      <c r="N62" s="7"/>
      <c r="P62" s="7"/>
    </row>
    <row r="63" customFormat="false" ht="13.5" hidden="false" customHeight="true" outlineLevel="0" collapsed="false">
      <c r="A63" s="8" t="n">
        <f aca="false">PRODUTOS!A63</f>
        <v>0</v>
      </c>
      <c r="B63" s="8" t="n">
        <f aca="false">PRODUTOS!B63</f>
        <v>0</v>
      </c>
      <c r="C63" s="7"/>
      <c r="D63" s="7"/>
      <c r="E63" s="7"/>
      <c r="F63" s="7"/>
      <c r="G63" s="8" t="n">
        <f aca="false">PRODUTOS!C63</f>
        <v>0</v>
      </c>
      <c r="H63" s="8" t="n">
        <f aca="false">PRODUTOS!D63</f>
        <v>0</v>
      </c>
      <c r="I63" s="9" t="str">
        <f aca="false">IF(SAIDA!F63="",SAIDA!B63,SAIDA!F63)</f>
        <v/>
      </c>
      <c r="J63" s="10" t="str">
        <f aca="false">IF(SAIDA!F63="",SAIDA!C63,SAIDA!J63)</f>
        <v/>
      </c>
      <c r="K63" s="11" t="str">
        <f aca="false">IF(SAIDA!F63="",SAIDA!D63,SAIDA!K63)</f>
        <v/>
      </c>
      <c r="L63" s="12" t="str">
        <f aca="false">IF(SAIDA!F63="",SAIDA!E63,SAIDA!L63)</f>
        <v/>
      </c>
      <c r="N63" s="7"/>
      <c r="P63" s="7"/>
    </row>
    <row r="64" customFormat="false" ht="13.5" hidden="false" customHeight="true" outlineLevel="0" collapsed="false">
      <c r="A64" s="8" t="n">
        <f aca="false">PRODUTOS!A64</f>
        <v>0</v>
      </c>
      <c r="B64" s="8" t="n">
        <f aca="false">PRODUTOS!B64</f>
        <v>0</v>
      </c>
      <c r="C64" s="7"/>
      <c r="D64" s="7"/>
      <c r="E64" s="7"/>
      <c r="F64" s="7"/>
      <c r="G64" s="8" t="n">
        <f aca="false">PRODUTOS!C64</f>
        <v>0</v>
      </c>
      <c r="H64" s="8" t="n">
        <f aca="false">PRODUTOS!D64</f>
        <v>0</v>
      </c>
      <c r="I64" s="9" t="str">
        <f aca="false">IF(SAIDA!F64="",SAIDA!B64,SAIDA!F64)</f>
        <v/>
      </c>
      <c r="J64" s="10" t="str">
        <f aca="false">IF(SAIDA!F64="",SAIDA!C64,SAIDA!J64)</f>
        <v/>
      </c>
      <c r="K64" s="11" t="str">
        <f aca="false">IF(SAIDA!F64="",SAIDA!D64,SAIDA!K64)</f>
        <v/>
      </c>
      <c r="L64" s="12" t="str">
        <f aca="false">IF(SAIDA!F64="",SAIDA!E64,SAIDA!L64)</f>
        <v/>
      </c>
      <c r="N64" s="7"/>
      <c r="P64" s="7"/>
    </row>
    <row r="65" customFormat="false" ht="13.5" hidden="false" customHeight="true" outlineLevel="0" collapsed="false">
      <c r="A65" s="8" t="n">
        <f aca="false">PRODUTOS!A65</f>
        <v>0</v>
      </c>
      <c r="B65" s="8" t="n">
        <f aca="false">PRODUTOS!B65</f>
        <v>0</v>
      </c>
      <c r="C65" s="7"/>
      <c r="D65" s="7"/>
      <c r="E65" s="7"/>
      <c r="F65" s="7"/>
      <c r="G65" s="8" t="n">
        <f aca="false">PRODUTOS!C65</f>
        <v>0</v>
      </c>
      <c r="H65" s="8" t="n">
        <f aca="false">PRODUTOS!D65</f>
        <v>0</v>
      </c>
      <c r="I65" s="9" t="str">
        <f aca="false">IF(SAIDA!F65="",SAIDA!B65,SAIDA!F65)</f>
        <v/>
      </c>
      <c r="J65" s="10" t="str">
        <f aca="false">IF(SAIDA!F65="",SAIDA!C65,SAIDA!J65)</f>
        <v/>
      </c>
      <c r="K65" s="11" t="str">
        <f aca="false">IF(SAIDA!F65="",SAIDA!D65,SAIDA!K65)</f>
        <v/>
      </c>
      <c r="L65" s="12" t="str">
        <f aca="false">IF(SAIDA!F65="",SAIDA!E65,SAIDA!L65)</f>
        <v/>
      </c>
      <c r="N65" s="7"/>
      <c r="P65" s="7"/>
    </row>
    <row r="66" customFormat="false" ht="13.5" hidden="false" customHeight="true" outlineLevel="0" collapsed="false">
      <c r="A66" s="8" t="n">
        <f aca="false">PRODUTOS!A66</f>
        <v>0</v>
      </c>
      <c r="B66" s="8" t="n">
        <f aca="false">PRODUTOS!B66</f>
        <v>0</v>
      </c>
      <c r="C66" s="7"/>
      <c r="D66" s="7"/>
      <c r="E66" s="7"/>
      <c r="F66" s="7"/>
      <c r="G66" s="8" t="n">
        <f aca="false">PRODUTOS!C66</f>
        <v>0</v>
      </c>
      <c r="H66" s="8" t="n">
        <f aca="false">PRODUTOS!D66</f>
        <v>0</v>
      </c>
      <c r="I66" s="9" t="str">
        <f aca="false">IF(SAIDA!F66="",SAIDA!B66,SAIDA!F66)</f>
        <v/>
      </c>
      <c r="J66" s="10" t="str">
        <f aca="false">IF(SAIDA!F66="",SAIDA!C66,SAIDA!J66)</f>
        <v/>
      </c>
      <c r="K66" s="11" t="str">
        <f aca="false">IF(SAIDA!F66="",SAIDA!D66,SAIDA!K66)</f>
        <v/>
      </c>
      <c r="L66" s="12" t="str">
        <f aca="false">IF(SAIDA!F66="",SAIDA!E66,SAIDA!L66)</f>
        <v/>
      </c>
      <c r="N66" s="7"/>
      <c r="P66" s="7"/>
    </row>
    <row r="67" customFormat="false" ht="13.5" hidden="false" customHeight="true" outlineLevel="0" collapsed="false">
      <c r="A67" s="8" t="n">
        <f aca="false">PRODUTOS!A67</f>
        <v>0</v>
      </c>
      <c r="B67" s="8" t="n">
        <f aca="false">PRODUTOS!B67</f>
        <v>0</v>
      </c>
      <c r="C67" s="7"/>
      <c r="D67" s="7"/>
      <c r="E67" s="7"/>
      <c r="F67" s="7"/>
      <c r="G67" s="8" t="n">
        <f aca="false">PRODUTOS!C67</f>
        <v>0</v>
      </c>
      <c r="H67" s="8" t="n">
        <f aca="false">PRODUTOS!D67</f>
        <v>0</v>
      </c>
      <c r="I67" s="9" t="str">
        <f aca="false">IF(SAIDA!F67="",SAIDA!B67,SAIDA!F67)</f>
        <v/>
      </c>
      <c r="J67" s="10" t="str">
        <f aca="false">IF(SAIDA!F67="",SAIDA!C67,SAIDA!J67)</f>
        <v/>
      </c>
      <c r="K67" s="11" t="str">
        <f aca="false">IF(SAIDA!F67="",SAIDA!D67,SAIDA!K67)</f>
        <v/>
      </c>
      <c r="L67" s="12" t="str">
        <f aca="false">IF(SAIDA!F67="",SAIDA!E67,SAIDA!L67)</f>
        <v/>
      </c>
      <c r="N67" s="7"/>
      <c r="P67" s="7"/>
    </row>
    <row r="68" customFormat="false" ht="13.5" hidden="false" customHeight="true" outlineLevel="0" collapsed="false">
      <c r="A68" s="8" t="n">
        <f aca="false">PRODUTOS!A68</f>
        <v>0</v>
      </c>
      <c r="B68" s="8" t="n">
        <f aca="false">PRODUTOS!B68</f>
        <v>0</v>
      </c>
      <c r="C68" s="7"/>
      <c r="D68" s="7"/>
      <c r="E68" s="7"/>
      <c r="F68" s="7"/>
      <c r="G68" s="8" t="n">
        <f aca="false">PRODUTOS!C68</f>
        <v>0</v>
      </c>
      <c r="H68" s="8" t="n">
        <f aca="false">PRODUTOS!D68</f>
        <v>0</v>
      </c>
      <c r="I68" s="9" t="str">
        <f aca="false">IF(SAIDA!F68="",SAIDA!B68,SAIDA!F68)</f>
        <v/>
      </c>
      <c r="J68" s="10" t="str">
        <f aca="false">IF(SAIDA!F68="",SAIDA!C68,SAIDA!J68)</f>
        <v/>
      </c>
      <c r="K68" s="11" t="str">
        <f aca="false">IF(SAIDA!F68="",SAIDA!D68,SAIDA!K68)</f>
        <v/>
      </c>
      <c r="L68" s="12" t="str">
        <f aca="false">IF(SAIDA!F68="",SAIDA!E68,SAIDA!L68)</f>
        <v/>
      </c>
      <c r="N68" s="7"/>
      <c r="P68" s="7"/>
    </row>
    <row r="69" customFormat="false" ht="13.5" hidden="false" customHeight="true" outlineLevel="0" collapsed="false">
      <c r="A69" s="8" t="n">
        <f aca="false">PRODUTOS!A69</f>
        <v>0</v>
      </c>
      <c r="B69" s="8" t="n">
        <f aca="false">PRODUTOS!B69</f>
        <v>0</v>
      </c>
      <c r="C69" s="7"/>
      <c r="D69" s="7"/>
      <c r="E69" s="7"/>
      <c r="F69" s="7"/>
      <c r="G69" s="8" t="n">
        <f aca="false">PRODUTOS!C69</f>
        <v>0</v>
      </c>
      <c r="H69" s="8" t="n">
        <f aca="false">PRODUTOS!D69</f>
        <v>0</v>
      </c>
      <c r="I69" s="9" t="str">
        <f aca="false">IF(SAIDA!F69="",SAIDA!B69,SAIDA!F69)</f>
        <v/>
      </c>
      <c r="J69" s="10" t="str">
        <f aca="false">IF(SAIDA!F69="",SAIDA!C69,SAIDA!J69)</f>
        <v/>
      </c>
      <c r="K69" s="11" t="str">
        <f aca="false">IF(SAIDA!F69="",SAIDA!D69,SAIDA!K69)</f>
        <v/>
      </c>
      <c r="L69" s="12" t="str">
        <f aca="false">IF(SAIDA!F69="",SAIDA!E69,SAIDA!L69)</f>
        <v/>
      </c>
      <c r="N69" s="7"/>
      <c r="P69" s="7"/>
    </row>
    <row r="70" customFormat="false" ht="13.5" hidden="false" customHeight="true" outlineLevel="0" collapsed="false">
      <c r="A70" s="8" t="n">
        <f aca="false">PRODUTOS!A70</f>
        <v>0</v>
      </c>
      <c r="B70" s="8" t="n">
        <f aca="false">PRODUTOS!B70</f>
        <v>0</v>
      </c>
      <c r="C70" s="7"/>
      <c r="D70" s="7"/>
      <c r="E70" s="7"/>
      <c r="F70" s="7"/>
      <c r="G70" s="8" t="n">
        <f aca="false">PRODUTOS!C70</f>
        <v>0</v>
      </c>
      <c r="H70" s="8" t="n">
        <f aca="false">PRODUTOS!D70</f>
        <v>0</v>
      </c>
      <c r="I70" s="9" t="str">
        <f aca="false">IF(SAIDA!F70="",SAIDA!B70,SAIDA!F70)</f>
        <v/>
      </c>
      <c r="J70" s="10" t="str">
        <f aca="false">IF(SAIDA!F70="",SAIDA!C70,SAIDA!J70)</f>
        <v/>
      </c>
      <c r="K70" s="11" t="str">
        <f aca="false">IF(SAIDA!F70="",SAIDA!D70,SAIDA!K70)</f>
        <v/>
      </c>
      <c r="L70" s="12" t="str">
        <f aca="false">IF(SAIDA!F70="",SAIDA!E70,SAIDA!L70)</f>
        <v/>
      </c>
      <c r="N70" s="7"/>
      <c r="P70" s="7"/>
    </row>
    <row r="71" customFormat="false" ht="13.5" hidden="false" customHeight="true" outlineLevel="0" collapsed="false">
      <c r="A71" s="8" t="n">
        <f aca="false">PRODUTOS!A71</f>
        <v>0</v>
      </c>
      <c r="B71" s="8" t="n">
        <f aca="false">PRODUTOS!B71</f>
        <v>0</v>
      </c>
      <c r="C71" s="7"/>
      <c r="D71" s="7"/>
      <c r="E71" s="7"/>
      <c r="F71" s="7"/>
      <c r="G71" s="8" t="n">
        <f aca="false">PRODUTOS!C71</f>
        <v>0</v>
      </c>
      <c r="H71" s="8" t="n">
        <f aca="false">PRODUTOS!D71</f>
        <v>0</v>
      </c>
      <c r="I71" s="9" t="str">
        <f aca="false">IF(SAIDA!F71="",SAIDA!B71,SAIDA!F71)</f>
        <v/>
      </c>
      <c r="J71" s="10" t="str">
        <f aca="false">IF(SAIDA!F71="",SAIDA!C71,SAIDA!J71)</f>
        <v/>
      </c>
      <c r="K71" s="11" t="str">
        <f aca="false">IF(SAIDA!F71="",SAIDA!D71,SAIDA!K71)</f>
        <v/>
      </c>
      <c r="L71" s="12" t="str">
        <f aca="false">IF(SAIDA!F71="",SAIDA!E71,SAIDA!L71)</f>
        <v/>
      </c>
      <c r="N71" s="7"/>
      <c r="P71" s="7"/>
    </row>
    <row r="72" customFormat="false" ht="13.5" hidden="false" customHeight="true" outlineLevel="0" collapsed="false">
      <c r="A72" s="8" t="n">
        <f aca="false">PRODUTOS!A72</f>
        <v>0</v>
      </c>
      <c r="B72" s="8" t="n">
        <f aca="false">PRODUTOS!B72</f>
        <v>0</v>
      </c>
      <c r="C72" s="7"/>
      <c r="D72" s="7"/>
      <c r="E72" s="7"/>
      <c r="F72" s="7"/>
      <c r="G72" s="8" t="n">
        <f aca="false">PRODUTOS!C72</f>
        <v>0</v>
      </c>
      <c r="H72" s="8" t="n">
        <f aca="false">PRODUTOS!D72</f>
        <v>0</v>
      </c>
      <c r="I72" s="9" t="str">
        <f aca="false">IF(SAIDA!F72="",SAIDA!B72,SAIDA!F72)</f>
        <v/>
      </c>
      <c r="J72" s="10" t="str">
        <f aca="false">IF(SAIDA!F72="",SAIDA!C72,SAIDA!J72)</f>
        <v/>
      </c>
      <c r="K72" s="11" t="str">
        <f aca="false">IF(SAIDA!F72="",SAIDA!D72,SAIDA!K72)</f>
        <v/>
      </c>
      <c r="L72" s="12" t="str">
        <f aca="false">IF(SAIDA!F72="",SAIDA!E72,SAIDA!L72)</f>
        <v/>
      </c>
      <c r="N72" s="7"/>
      <c r="P72" s="7"/>
    </row>
    <row r="73" customFormat="false" ht="13.5" hidden="false" customHeight="true" outlineLevel="0" collapsed="false">
      <c r="A73" s="8" t="n">
        <f aca="false">PRODUTOS!A73</f>
        <v>0</v>
      </c>
      <c r="B73" s="8" t="n">
        <f aca="false">PRODUTOS!B73</f>
        <v>0</v>
      </c>
      <c r="C73" s="7"/>
      <c r="D73" s="7"/>
      <c r="E73" s="7"/>
      <c r="F73" s="7"/>
      <c r="G73" s="8" t="n">
        <f aca="false">PRODUTOS!C73</f>
        <v>0</v>
      </c>
      <c r="H73" s="8" t="n">
        <f aca="false">PRODUTOS!D73</f>
        <v>0</v>
      </c>
      <c r="I73" s="9" t="str">
        <f aca="false">IF(SAIDA!F73="",SAIDA!B73,SAIDA!F73)</f>
        <v/>
      </c>
      <c r="J73" s="10" t="str">
        <f aca="false">IF(SAIDA!F73="",SAIDA!C73,SAIDA!J73)</f>
        <v/>
      </c>
      <c r="K73" s="11" t="str">
        <f aca="false">IF(SAIDA!F73="",SAIDA!D73,SAIDA!K73)</f>
        <v/>
      </c>
      <c r="L73" s="12" t="str">
        <f aca="false">IF(SAIDA!F73="",SAIDA!E73,SAIDA!L73)</f>
        <v/>
      </c>
      <c r="N73" s="7"/>
      <c r="P73" s="7"/>
    </row>
    <row r="74" customFormat="false" ht="13.5" hidden="false" customHeight="true" outlineLevel="0" collapsed="false">
      <c r="A74" s="8" t="n">
        <f aca="false">PRODUTOS!A74</f>
        <v>0</v>
      </c>
      <c r="B74" s="8" t="n">
        <f aca="false">PRODUTOS!B74</f>
        <v>0</v>
      </c>
      <c r="C74" s="7"/>
      <c r="D74" s="7"/>
      <c r="E74" s="7"/>
      <c r="F74" s="7"/>
      <c r="G74" s="8" t="n">
        <f aca="false">PRODUTOS!C74</f>
        <v>0</v>
      </c>
      <c r="H74" s="8" t="n">
        <f aca="false">PRODUTOS!D74</f>
        <v>0</v>
      </c>
      <c r="I74" s="9" t="str">
        <f aca="false">IF(SAIDA!F74="",SAIDA!B74,SAIDA!F74)</f>
        <v/>
      </c>
      <c r="J74" s="10" t="str">
        <f aca="false">IF(SAIDA!F74="",SAIDA!C74,SAIDA!J74)</f>
        <v/>
      </c>
      <c r="K74" s="11" t="str">
        <f aca="false">IF(SAIDA!F74="",SAIDA!D74,SAIDA!K74)</f>
        <v/>
      </c>
      <c r="L74" s="12" t="str">
        <f aca="false">IF(SAIDA!F74="",SAIDA!E74,SAIDA!L74)</f>
        <v/>
      </c>
      <c r="N74" s="7"/>
      <c r="P74" s="7"/>
    </row>
    <row r="75" customFormat="false" ht="13.5" hidden="false" customHeight="true" outlineLevel="0" collapsed="false">
      <c r="A75" s="8" t="n">
        <f aca="false">PRODUTOS!A75</f>
        <v>0</v>
      </c>
      <c r="B75" s="8" t="n">
        <f aca="false">PRODUTOS!B75</f>
        <v>0</v>
      </c>
      <c r="C75" s="7"/>
      <c r="D75" s="7"/>
      <c r="E75" s="7"/>
      <c r="F75" s="7"/>
      <c r="G75" s="8" t="n">
        <f aca="false">PRODUTOS!C75</f>
        <v>0</v>
      </c>
      <c r="H75" s="8" t="n">
        <f aca="false">PRODUTOS!D75</f>
        <v>0</v>
      </c>
      <c r="I75" s="9" t="str">
        <f aca="false">IF(SAIDA!F75="",SAIDA!B75,SAIDA!F75)</f>
        <v/>
      </c>
      <c r="J75" s="10" t="str">
        <f aca="false">IF(SAIDA!F75="",SAIDA!C75,SAIDA!J75)</f>
        <v/>
      </c>
      <c r="K75" s="11" t="str">
        <f aca="false">IF(SAIDA!F75="",SAIDA!D75,SAIDA!K75)</f>
        <v/>
      </c>
      <c r="L75" s="12" t="str">
        <f aca="false">IF(SAIDA!F75="",SAIDA!E75,SAIDA!L75)</f>
        <v/>
      </c>
      <c r="N75" s="7"/>
      <c r="P75" s="7"/>
    </row>
    <row r="76" customFormat="false" ht="13.5" hidden="false" customHeight="true" outlineLevel="0" collapsed="false">
      <c r="A76" s="8" t="n">
        <f aca="false">PRODUTOS!A76</f>
        <v>0</v>
      </c>
      <c r="B76" s="8" t="n">
        <f aca="false">PRODUTOS!B76</f>
        <v>0</v>
      </c>
      <c r="C76" s="7"/>
      <c r="D76" s="7"/>
      <c r="E76" s="7"/>
      <c r="F76" s="7"/>
      <c r="G76" s="8" t="n">
        <f aca="false">PRODUTOS!C76</f>
        <v>0</v>
      </c>
      <c r="H76" s="8" t="n">
        <f aca="false">PRODUTOS!D76</f>
        <v>0</v>
      </c>
      <c r="I76" s="9" t="str">
        <f aca="false">IF(SAIDA!F76="",SAIDA!B76,SAIDA!F76)</f>
        <v/>
      </c>
      <c r="J76" s="10" t="str">
        <f aca="false">IF(SAIDA!F76="",SAIDA!C76,SAIDA!J76)</f>
        <v/>
      </c>
      <c r="K76" s="11" t="str">
        <f aca="false">IF(SAIDA!F76="",SAIDA!D76,SAIDA!K76)</f>
        <v/>
      </c>
      <c r="L76" s="12" t="str">
        <f aca="false">IF(SAIDA!F76="",SAIDA!E76,SAIDA!L76)</f>
        <v/>
      </c>
      <c r="N76" s="7"/>
      <c r="P76" s="7"/>
    </row>
    <row r="77" customFormat="false" ht="13.5" hidden="false" customHeight="true" outlineLevel="0" collapsed="false">
      <c r="A77" s="8" t="n">
        <f aca="false">PRODUTOS!A77</f>
        <v>0</v>
      </c>
      <c r="B77" s="8" t="n">
        <f aca="false">PRODUTOS!B77</f>
        <v>0</v>
      </c>
      <c r="C77" s="7"/>
      <c r="D77" s="7"/>
      <c r="E77" s="7"/>
      <c r="F77" s="7"/>
      <c r="G77" s="8" t="n">
        <f aca="false">PRODUTOS!C77</f>
        <v>0</v>
      </c>
      <c r="H77" s="8" t="n">
        <f aca="false">PRODUTOS!D77</f>
        <v>0</v>
      </c>
      <c r="I77" s="9" t="str">
        <f aca="false">IF(SAIDA!F77="",SAIDA!B77,SAIDA!F77)</f>
        <v/>
      </c>
      <c r="J77" s="10" t="str">
        <f aca="false">IF(SAIDA!F77="",SAIDA!C77,SAIDA!J77)</f>
        <v/>
      </c>
      <c r="K77" s="11" t="str">
        <f aca="false">IF(SAIDA!F77="",SAIDA!D77,SAIDA!K77)</f>
        <v/>
      </c>
      <c r="L77" s="12" t="str">
        <f aca="false">IF(SAIDA!F77="",SAIDA!E77,SAIDA!L77)</f>
        <v/>
      </c>
      <c r="N77" s="7"/>
      <c r="P77" s="7"/>
    </row>
    <row r="78" customFormat="false" ht="13.5" hidden="false" customHeight="true" outlineLevel="0" collapsed="false">
      <c r="A78" s="8" t="n">
        <f aca="false">PRODUTOS!A78</f>
        <v>0</v>
      </c>
      <c r="B78" s="8" t="n">
        <f aca="false">PRODUTOS!B78</f>
        <v>0</v>
      </c>
      <c r="C78" s="7"/>
      <c r="D78" s="7"/>
      <c r="E78" s="7"/>
      <c r="F78" s="7"/>
      <c r="G78" s="8" t="n">
        <f aca="false">PRODUTOS!C78</f>
        <v>0</v>
      </c>
      <c r="H78" s="8" t="n">
        <f aca="false">PRODUTOS!D78</f>
        <v>0</v>
      </c>
      <c r="I78" s="9" t="str">
        <f aca="false">IF(SAIDA!F78="",SAIDA!B78,SAIDA!F78)</f>
        <v/>
      </c>
      <c r="J78" s="10" t="str">
        <f aca="false">IF(SAIDA!F78="",SAIDA!C78,SAIDA!J78)</f>
        <v/>
      </c>
      <c r="K78" s="11" t="str">
        <f aca="false">IF(SAIDA!F78="",SAIDA!D78,SAIDA!K78)</f>
        <v/>
      </c>
      <c r="L78" s="12" t="str">
        <f aca="false">IF(SAIDA!F78="",SAIDA!E78,SAIDA!L78)</f>
        <v/>
      </c>
      <c r="N78" s="7"/>
      <c r="P78" s="7"/>
    </row>
    <row r="79" customFormat="false" ht="13.5" hidden="false" customHeight="true" outlineLevel="0" collapsed="false">
      <c r="A79" s="8" t="n">
        <f aca="false">PRODUTOS!A79</f>
        <v>0</v>
      </c>
      <c r="B79" s="8" t="n">
        <f aca="false">PRODUTOS!B79</f>
        <v>0</v>
      </c>
      <c r="C79" s="7"/>
      <c r="D79" s="7"/>
      <c r="E79" s="7"/>
      <c r="F79" s="7"/>
      <c r="G79" s="8" t="n">
        <f aca="false">PRODUTOS!C79</f>
        <v>0</v>
      </c>
      <c r="H79" s="8" t="n">
        <f aca="false">PRODUTOS!D79</f>
        <v>0</v>
      </c>
      <c r="I79" s="9" t="str">
        <f aca="false">IF(SAIDA!F79="",SAIDA!B79,SAIDA!F79)</f>
        <v/>
      </c>
      <c r="J79" s="10" t="str">
        <f aca="false">IF(SAIDA!F79="",SAIDA!C79,SAIDA!J79)</f>
        <v/>
      </c>
      <c r="K79" s="11" t="str">
        <f aca="false">IF(SAIDA!F79="",SAIDA!D79,SAIDA!K79)</f>
        <v/>
      </c>
      <c r="L79" s="12" t="str">
        <f aca="false">IF(SAIDA!F79="",SAIDA!E79,SAIDA!L79)</f>
        <v/>
      </c>
      <c r="N79" s="7"/>
      <c r="P79" s="7"/>
    </row>
    <row r="80" customFormat="false" ht="13.5" hidden="false" customHeight="true" outlineLevel="0" collapsed="false">
      <c r="A80" s="8" t="n">
        <f aca="false">PRODUTOS!A80</f>
        <v>0</v>
      </c>
      <c r="B80" s="8" t="n">
        <f aca="false">PRODUTOS!B80</f>
        <v>0</v>
      </c>
      <c r="C80" s="7"/>
      <c r="D80" s="7"/>
      <c r="E80" s="7"/>
      <c r="F80" s="7"/>
      <c r="G80" s="8" t="n">
        <f aca="false">PRODUTOS!C80</f>
        <v>0</v>
      </c>
      <c r="H80" s="8" t="n">
        <f aca="false">PRODUTOS!D80</f>
        <v>0</v>
      </c>
      <c r="I80" s="9" t="str">
        <f aca="false">IF(SAIDA!F80="",SAIDA!B80,SAIDA!F80)</f>
        <v/>
      </c>
      <c r="J80" s="10" t="str">
        <f aca="false">IF(SAIDA!F80="",SAIDA!C80,SAIDA!J80)</f>
        <v/>
      </c>
      <c r="K80" s="11" t="str">
        <f aca="false">IF(SAIDA!F80="",SAIDA!D80,SAIDA!K80)</f>
        <v/>
      </c>
      <c r="L80" s="12" t="str">
        <f aca="false">IF(SAIDA!F80="",SAIDA!E80,SAIDA!L80)</f>
        <v/>
      </c>
      <c r="N80" s="7"/>
      <c r="P80" s="7"/>
    </row>
    <row r="81" customFormat="false" ht="13.5" hidden="false" customHeight="true" outlineLevel="0" collapsed="false">
      <c r="A81" s="8" t="n">
        <f aca="false">PRODUTOS!A81</f>
        <v>0</v>
      </c>
      <c r="B81" s="8" t="n">
        <f aca="false">PRODUTOS!B81</f>
        <v>0</v>
      </c>
      <c r="C81" s="7"/>
      <c r="D81" s="7"/>
      <c r="E81" s="7"/>
      <c r="F81" s="7"/>
      <c r="G81" s="8" t="n">
        <f aca="false">PRODUTOS!C81</f>
        <v>0</v>
      </c>
      <c r="H81" s="8" t="n">
        <f aca="false">PRODUTOS!D81</f>
        <v>0</v>
      </c>
      <c r="I81" s="9" t="str">
        <f aca="false">IF(SAIDA!F81="",SAIDA!B81,SAIDA!F81)</f>
        <v/>
      </c>
      <c r="J81" s="10" t="str">
        <f aca="false">IF(SAIDA!F81="",SAIDA!C81,SAIDA!J81)</f>
        <v/>
      </c>
      <c r="K81" s="11" t="str">
        <f aca="false">IF(SAIDA!F81="",SAIDA!D81,SAIDA!K81)</f>
        <v/>
      </c>
      <c r="L81" s="12" t="str">
        <f aca="false">IF(SAIDA!F81="",SAIDA!E81,SAIDA!L81)</f>
        <v/>
      </c>
      <c r="N81" s="7"/>
      <c r="P81" s="7"/>
    </row>
    <row r="82" customFormat="false" ht="13.5" hidden="false" customHeight="true" outlineLevel="0" collapsed="false">
      <c r="A82" s="8" t="n">
        <f aca="false">PRODUTOS!A82</f>
        <v>0</v>
      </c>
      <c r="B82" s="8" t="n">
        <f aca="false">PRODUTOS!B82</f>
        <v>0</v>
      </c>
      <c r="C82" s="7"/>
      <c r="D82" s="7"/>
      <c r="E82" s="7"/>
      <c r="F82" s="7"/>
      <c r="G82" s="8" t="n">
        <f aca="false">PRODUTOS!C82</f>
        <v>0</v>
      </c>
      <c r="H82" s="8" t="n">
        <f aca="false">PRODUTOS!D82</f>
        <v>0</v>
      </c>
      <c r="I82" s="9" t="str">
        <f aca="false">IF(SAIDA!F82="",SAIDA!B82,SAIDA!F82)</f>
        <v/>
      </c>
      <c r="J82" s="10" t="str">
        <f aca="false">IF(SAIDA!F82="",SAIDA!C82,SAIDA!J82)</f>
        <v/>
      </c>
      <c r="K82" s="11" t="str">
        <f aca="false">IF(SAIDA!F82="",SAIDA!D82,SAIDA!K82)</f>
        <v/>
      </c>
      <c r="L82" s="12" t="str">
        <f aca="false">IF(SAIDA!F82="",SAIDA!E82,SAIDA!L82)</f>
        <v/>
      </c>
      <c r="N82" s="7"/>
      <c r="P82" s="7"/>
    </row>
    <row r="83" customFormat="false" ht="13.5" hidden="false" customHeight="true" outlineLevel="0" collapsed="false">
      <c r="A83" s="8" t="n">
        <f aca="false">PRODUTOS!A83</f>
        <v>0</v>
      </c>
      <c r="B83" s="8" t="n">
        <f aca="false">PRODUTOS!B83</f>
        <v>0</v>
      </c>
      <c r="C83" s="7"/>
      <c r="D83" s="7"/>
      <c r="E83" s="7"/>
      <c r="F83" s="7"/>
      <c r="G83" s="8" t="n">
        <f aca="false">PRODUTOS!C83</f>
        <v>0</v>
      </c>
      <c r="H83" s="8" t="n">
        <f aca="false">PRODUTOS!D83</f>
        <v>0</v>
      </c>
      <c r="I83" s="9" t="str">
        <f aca="false">IF(SAIDA!F83="",SAIDA!B83,SAIDA!F83)</f>
        <v/>
      </c>
      <c r="J83" s="10" t="str">
        <f aca="false">IF(SAIDA!F83="",SAIDA!C83,SAIDA!J83)</f>
        <v/>
      </c>
      <c r="K83" s="11" t="str">
        <f aca="false">IF(SAIDA!F83="",SAIDA!D83,SAIDA!K83)</f>
        <v/>
      </c>
      <c r="L83" s="12" t="str">
        <f aca="false">IF(SAIDA!F83="",SAIDA!E83,SAIDA!L83)</f>
        <v/>
      </c>
      <c r="N83" s="7"/>
      <c r="P83" s="7"/>
    </row>
    <row r="84" customFormat="false" ht="13.5" hidden="false" customHeight="true" outlineLevel="0" collapsed="false">
      <c r="A84" s="8" t="n">
        <f aca="false">PRODUTOS!A84</f>
        <v>0</v>
      </c>
      <c r="B84" s="8" t="n">
        <f aca="false">PRODUTOS!B84</f>
        <v>0</v>
      </c>
      <c r="C84" s="7"/>
      <c r="D84" s="7"/>
      <c r="E84" s="7"/>
      <c r="F84" s="7"/>
      <c r="G84" s="8" t="n">
        <f aca="false">PRODUTOS!C84</f>
        <v>0</v>
      </c>
      <c r="H84" s="8" t="n">
        <f aca="false">PRODUTOS!D84</f>
        <v>0</v>
      </c>
      <c r="I84" s="9" t="str">
        <f aca="false">IF(SAIDA!F84="",SAIDA!B84,SAIDA!F84)</f>
        <v/>
      </c>
      <c r="J84" s="10" t="str">
        <f aca="false">IF(SAIDA!F84="",SAIDA!C84,SAIDA!J84)</f>
        <v/>
      </c>
      <c r="K84" s="11" t="str">
        <f aca="false">IF(SAIDA!F84="",SAIDA!D84,SAIDA!K84)</f>
        <v/>
      </c>
      <c r="L84" s="12" t="str">
        <f aca="false">IF(SAIDA!F84="",SAIDA!E84,SAIDA!L84)</f>
        <v/>
      </c>
      <c r="N84" s="7"/>
      <c r="P84" s="7"/>
    </row>
    <row r="85" customFormat="false" ht="13.5" hidden="false" customHeight="true" outlineLevel="0" collapsed="false">
      <c r="A85" s="8" t="n">
        <f aca="false">PRODUTOS!A85</f>
        <v>0</v>
      </c>
      <c r="B85" s="8" t="n">
        <f aca="false">PRODUTOS!B85</f>
        <v>0</v>
      </c>
      <c r="C85" s="7"/>
      <c r="D85" s="7"/>
      <c r="E85" s="7"/>
      <c r="F85" s="7"/>
      <c r="G85" s="8" t="n">
        <f aca="false">PRODUTOS!C85</f>
        <v>0</v>
      </c>
      <c r="H85" s="8" t="n">
        <f aca="false">PRODUTOS!D85</f>
        <v>0</v>
      </c>
      <c r="I85" s="9" t="str">
        <f aca="false">IF(SAIDA!F85="",SAIDA!B85,SAIDA!F85)</f>
        <v/>
      </c>
      <c r="J85" s="10" t="str">
        <f aca="false">IF(SAIDA!F85="",SAIDA!C85,SAIDA!J85)</f>
        <v/>
      </c>
      <c r="K85" s="11" t="str">
        <f aca="false">IF(SAIDA!F85="",SAIDA!D85,SAIDA!K85)</f>
        <v/>
      </c>
      <c r="L85" s="12" t="str">
        <f aca="false">IF(SAIDA!F85="",SAIDA!E85,SAIDA!L85)</f>
        <v/>
      </c>
      <c r="N85" s="7"/>
      <c r="P85" s="7"/>
    </row>
    <row r="86" customFormat="false" ht="13.5" hidden="false" customHeight="true" outlineLevel="0" collapsed="false">
      <c r="A86" s="8" t="n">
        <f aca="false">PRODUTOS!A86</f>
        <v>0</v>
      </c>
      <c r="B86" s="8" t="n">
        <f aca="false">PRODUTOS!B86</f>
        <v>0</v>
      </c>
      <c r="C86" s="7"/>
      <c r="D86" s="7"/>
      <c r="E86" s="7"/>
      <c r="F86" s="7"/>
      <c r="G86" s="8" t="n">
        <f aca="false">PRODUTOS!C86</f>
        <v>0</v>
      </c>
      <c r="H86" s="8" t="n">
        <f aca="false">PRODUTOS!D86</f>
        <v>0</v>
      </c>
      <c r="I86" s="9" t="str">
        <f aca="false">IF(SAIDA!F86="",SAIDA!B86,SAIDA!F86)</f>
        <v/>
      </c>
      <c r="J86" s="10" t="str">
        <f aca="false">IF(SAIDA!F86="",SAIDA!C86,SAIDA!J86)</f>
        <v/>
      </c>
      <c r="K86" s="11" t="str">
        <f aca="false">IF(SAIDA!F86="",SAIDA!D86,SAIDA!K86)</f>
        <v/>
      </c>
      <c r="L86" s="12" t="str">
        <f aca="false">IF(SAIDA!F86="",SAIDA!E86,SAIDA!L86)</f>
        <v/>
      </c>
      <c r="N86" s="7"/>
      <c r="P86" s="7"/>
    </row>
    <row r="87" customFormat="false" ht="13.5" hidden="false" customHeight="true" outlineLevel="0" collapsed="false">
      <c r="A87" s="8" t="n">
        <f aca="false">PRODUTOS!A87</f>
        <v>0</v>
      </c>
      <c r="B87" s="8" t="n">
        <f aca="false">PRODUTOS!B87</f>
        <v>0</v>
      </c>
      <c r="C87" s="7"/>
      <c r="D87" s="7"/>
      <c r="E87" s="7"/>
      <c r="F87" s="7"/>
      <c r="G87" s="8" t="n">
        <f aca="false">PRODUTOS!C87</f>
        <v>0</v>
      </c>
      <c r="H87" s="8" t="n">
        <f aca="false">PRODUTOS!D87</f>
        <v>0</v>
      </c>
      <c r="I87" s="9" t="str">
        <f aca="false">IF(SAIDA!F87="",SAIDA!B87,SAIDA!F87)</f>
        <v/>
      </c>
      <c r="J87" s="10" t="str">
        <f aca="false">IF(SAIDA!F87="",SAIDA!C87,SAIDA!J87)</f>
        <v/>
      </c>
      <c r="K87" s="11" t="str">
        <f aca="false">IF(SAIDA!F87="",SAIDA!D87,SAIDA!K87)</f>
        <v/>
      </c>
      <c r="L87" s="12" t="str">
        <f aca="false">IF(SAIDA!F87="",SAIDA!E87,SAIDA!L87)</f>
        <v/>
      </c>
      <c r="N87" s="7"/>
      <c r="P87" s="7"/>
    </row>
    <row r="88" customFormat="false" ht="13.5" hidden="false" customHeight="true" outlineLevel="0" collapsed="false">
      <c r="A88" s="8" t="n">
        <f aca="false">PRODUTOS!A88</f>
        <v>0</v>
      </c>
      <c r="B88" s="8" t="n">
        <f aca="false">PRODUTOS!B88</f>
        <v>0</v>
      </c>
      <c r="C88" s="7"/>
      <c r="D88" s="7"/>
      <c r="E88" s="7"/>
      <c r="F88" s="7"/>
      <c r="G88" s="8" t="n">
        <f aca="false">PRODUTOS!C88</f>
        <v>0</v>
      </c>
      <c r="H88" s="8" t="n">
        <f aca="false">PRODUTOS!D88</f>
        <v>0</v>
      </c>
      <c r="I88" s="9" t="str">
        <f aca="false">IF(SAIDA!F88="",SAIDA!B88,SAIDA!F88)</f>
        <v/>
      </c>
      <c r="J88" s="10" t="str">
        <f aca="false">IF(SAIDA!F88="",SAIDA!C88,SAIDA!J88)</f>
        <v/>
      </c>
      <c r="K88" s="11" t="str">
        <f aca="false">IF(SAIDA!F88="",SAIDA!D88,SAIDA!K88)</f>
        <v/>
      </c>
      <c r="L88" s="12" t="str">
        <f aca="false">IF(SAIDA!F88="",SAIDA!E88,SAIDA!L88)</f>
        <v/>
      </c>
      <c r="N88" s="7"/>
      <c r="P88" s="7"/>
    </row>
    <row r="89" customFormat="false" ht="13.5" hidden="false" customHeight="true" outlineLevel="0" collapsed="false">
      <c r="A89" s="8" t="n">
        <f aca="false">PRODUTOS!A89</f>
        <v>0</v>
      </c>
      <c r="B89" s="8" t="n">
        <f aca="false">PRODUTOS!B89</f>
        <v>0</v>
      </c>
      <c r="C89" s="7"/>
      <c r="D89" s="7"/>
      <c r="E89" s="7"/>
      <c r="F89" s="7"/>
      <c r="G89" s="8" t="n">
        <f aca="false">PRODUTOS!C89</f>
        <v>0</v>
      </c>
      <c r="H89" s="8" t="n">
        <f aca="false">PRODUTOS!D89</f>
        <v>0</v>
      </c>
      <c r="I89" s="9" t="str">
        <f aca="false">IF(SAIDA!F89="",SAIDA!B89,SAIDA!F89)</f>
        <v/>
      </c>
      <c r="J89" s="10" t="str">
        <f aca="false">IF(SAIDA!F89="",SAIDA!C89,SAIDA!J89)</f>
        <v/>
      </c>
      <c r="K89" s="11" t="str">
        <f aca="false">IF(SAIDA!F89="",SAIDA!D89,SAIDA!K89)</f>
        <v/>
      </c>
      <c r="L89" s="12" t="str">
        <f aca="false">IF(SAIDA!F89="",SAIDA!E89,SAIDA!L89)</f>
        <v/>
      </c>
      <c r="N89" s="7"/>
      <c r="P89" s="7"/>
    </row>
    <row r="90" customFormat="false" ht="13.5" hidden="false" customHeight="true" outlineLevel="0" collapsed="false">
      <c r="A90" s="8" t="n">
        <f aca="false">PRODUTOS!A90</f>
        <v>0</v>
      </c>
      <c r="B90" s="8" t="n">
        <f aca="false">PRODUTOS!B90</f>
        <v>0</v>
      </c>
      <c r="C90" s="7"/>
      <c r="D90" s="7"/>
      <c r="E90" s="7"/>
      <c r="F90" s="7"/>
      <c r="G90" s="8" t="n">
        <f aca="false">PRODUTOS!C90</f>
        <v>0</v>
      </c>
      <c r="H90" s="8" t="n">
        <f aca="false">PRODUTOS!D90</f>
        <v>0</v>
      </c>
      <c r="I90" s="9" t="str">
        <f aca="false">IF(SAIDA!F90="",SAIDA!B90,SAIDA!F90)</f>
        <v/>
      </c>
      <c r="J90" s="10" t="str">
        <f aca="false">IF(SAIDA!F90="",SAIDA!C90,SAIDA!J90)</f>
        <v/>
      </c>
      <c r="K90" s="11" t="str">
        <f aca="false">IF(SAIDA!F90="",SAIDA!D90,SAIDA!K90)</f>
        <v/>
      </c>
      <c r="L90" s="12" t="str">
        <f aca="false">IF(SAIDA!F90="",SAIDA!E90,SAIDA!L90)</f>
        <v/>
      </c>
      <c r="N90" s="7"/>
      <c r="P90" s="7"/>
    </row>
    <row r="91" customFormat="false" ht="13.5" hidden="false" customHeight="true" outlineLevel="0" collapsed="false">
      <c r="A91" s="8" t="n">
        <f aca="false">PRODUTOS!A91</f>
        <v>0</v>
      </c>
      <c r="B91" s="8" t="n">
        <f aca="false">PRODUTOS!B91</f>
        <v>0</v>
      </c>
      <c r="C91" s="7"/>
      <c r="D91" s="7"/>
      <c r="E91" s="7"/>
      <c r="F91" s="7"/>
      <c r="G91" s="8" t="n">
        <f aca="false">PRODUTOS!C91</f>
        <v>0</v>
      </c>
      <c r="H91" s="8" t="n">
        <f aca="false">PRODUTOS!D91</f>
        <v>0</v>
      </c>
      <c r="I91" s="9" t="str">
        <f aca="false">IF(SAIDA!F91="",SAIDA!B91,SAIDA!F91)</f>
        <v/>
      </c>
      <c r="J91" s="10" t="str">
        <f aca="false">IF(SAIDA!F91="",SAIDA!C91,SAIDA!J91)</f>
        <v/>
      </c>
      <c r="K91" s="11" t="str">
        <f aca="false">IF(SAIDA!F91="",SAIDA!D91,SAIDA!K91)</f>
        <v/>
      </c>
      <c r="L91" s="12" t="str">
        <f aca="false">IF(SAIDA!F91="",SAIDA!E91,SAIDA!L91)</f>
        <v/>
      </c>
      <c r="N91" s="7"/>
      <c r="P91" s="7"/>
    </row>
    <row r="92" customFormat="false" ht="13.5" hidden="false" customHeight="true" outlineLevel="0" collapsed="false">
      <c r="A92" s="8" t="n">
        <f aca="false">PRODUTOS!A92</f>
        <v>0</v>
      </c>
      <c r="B92" s="8" t="n">
        <f aca="false">PRODUTOS!B92</f>
        <v>0</v>
      </c>
      <c r="C92" s="7"/>
      <c r="D92" s="7"/>
      <c r="E92" s="7"/>
      <c r="F92" s="7"/>
      <c r="G92" s="8" t="n">
        <f aca="false">PRODUTOS!C92</f>
        <v>0</v>
      </c>
      <c r="H92" s="8" t="n">
        <f aca="false">PRODUTOS!D92</f>
        <v>0</v>
      </c>
      <c r="I92" s="9" t="str">
        <f aca="false">IF(SAIDA!F92="",SAIDA!B92,SAIDA!F92)</f>
        <v/>
      </c>
      <c r="J92" s="10" t="str">
        <f aca="false">IF(SAIDA!F92="",SAIDA!C92,SAIDA!J92)</f>
        <v/>
      </c>
      <c r="K92" s="11" t="str">
        <f aca="false">IF(SAIDA!F92="",SAIDA!D92,SAIDA!K92)</f>
        <v/>
      </c>
      <c r="L92" s="12" t="str">
        <f aca="false">IF(SAIDA!F92="",SAIDA!E92,SAIDA!L92)</f>
        <v/>
      </c>
      <c r="N92" s="7"/>
      <c r="P92" s="7"/>
    </row>
    <row r="93" customFormat="false" ht="13.5" hidden="false" customHeight="true" outlineLevel="0" collapsed="false">
      <c r="A93" s="8" t="n">
        <f aca="false">PRODUTOS!A93</f>
        <v>0</v>
      </c>
      <c r="B93" s="8" t="n">
        <f aca="false">PRODUTOS!B93</f>
        <v>0</v>
      </c>
      <c r="C93" s="7"/>
      <c r="D93" s="7"/>
      <c r="E93" s="7"/>
      <c r="F93" s="7"/>
      <c r="G93" s="8" t="n">
        <f aca="false">PRODUTOS!C93</f>
        <v>0</v>
      </c>
      <c r="H93" s="8" t="n">
        <f aca="false">PRODUTOS!D93</f>
        <v>0</v>
      </c>
      <c r="I93" s="9" t="str">
        <f aca="false">IF(SAIDA!F93="",SAIDA!B93,SAIDA!F93)</f>
        <v/>
      </c>
      <c r="J93" s="10" t="str">
        <f aca="false">IF(SAIDA!F93="",SAIDA!C93,SAIDA!J93)</f>
        <v/>
      </c>
      <c r="K93" s="11" t="str">
        <f aca="false">IF(SAIDA!F93="",SAIDA!D93,SAIDA!K93)</f>
        <v/>
      </c>
      <c r="L93" s="12" t="str">
        <f aca="false">IF(SAIDA!F93="",SAIDA!E93,SAIDA!L93)</f>
        <v/>
      </c>
      <c r="N93" s="7"/>
      <c r="P93" s="7"/>
    </row>
    <row r="94" customFormat="false" ht="13.5" hidden="false" customHeight="true" outlineLevel="0" collapsed="false">
      <c r="A94" s="8" t="n">
        <f aca="false">PRODUTOS!A94</f>
        <v>0</v>
      </c>
      <c r="B94" s="8" t="n">
        <f aca="false">PRODUTOS!B94</f>
        <v>0</v>
      </c>
      <c r="C94" s="7"/>
      <c r="D94" s="7"/>
      <c r="E94" s="7"/>
      <c r="F94" s="7"/>
      <c r="G94" s="8" t="n">
        <f aca="false">PRODUTOS!C94</f>
        <v>0</v>
      </c>
      <c r="H94" s="8" t="n">
        <f aca="false">PRODUTOS!D94</f>
        <v>0</v>
      </c>
      <c r="I94" s="9" t="str">
        <f aca="false">IF(SAIDA!F94="",SAIDA!B94,SAIDA!F94)</f>
        <v/>
      </c>
      <c r="J94" s="10" t="str">
        <f aca="false">IF(SAIDA!F94="",SAIDA!C94,SAIDA!J94)</f>
        <v/>
      </c>
      <c r="K94" s="11" t="str">
        <f aca="false">IF(SAIDA!F94="",SAIDA!D94,SAIDA!K94)</f>
        <v/>
      </c>
      <c r="L94" s="12" t="str">
        <f aca="false">IF(SAIDA!F94="",SAIDA!E94,SAIDA!L94)</f>
        <v/>
      </c>
      <c r="N94" s="7"/>
      <c r="P94" s="7"/>
    </row>
    <row r="95" customFormat="false" ht="13.5" hidden="false" customHeight="true" outlineLevel="0" collapsed="false">
      <c r="A95" s="8" t="n">
        <f aca="false">PRODUTOS!A95</f>
        <v>0</v>
      </c>
      <c r="B95" s="8" t="n">
        <f aca="false">PRODUTOS!B95</f>
        <v>0</v>
      </c>
      <c r="C95" s="7"/>
      <c r="D95" s="7"/>
      <c r="E95" s="7"/>
      <c r="F95" s="7"/>
      <c r="G95" s="8" t="n">
        <f aca="false">PRODUTOS!C95</f>
        <v>0</v>
      </c>
      <c r="H95" s="8" t="n">
        <f aca="false">PRODUTOS!D95</f>
        <v>0</v>
      </c>
      <c r="I95" s="9" t="str">
        <f aca="false">IF(SAIDA!F95="",SAIDA!B95,SAIDA!F95)</f>
        <v/>
      </c>
      <c r="J95" s="10" t="str">
        <f aca="false">IF(SAIDA!F95="",SAIDA!C95,SAIDA!J95)</f>
        <v/>
      </c>
      <c r="K95" s="11" t="str">
        <f aca="false">IF(SAIDA!F95="",SAIDA!D95,SAIDA!K95)</f>
        <v/>
      </c>
      <c r="L95" s="12" t="str">
        <f aca="false">IF(SAIDA!F95="",SAIDA!E95,SAIDA!L95)</f>
        <v/>
      </c>
      <c r="N95" s="7"/>
      <c r="P95" s="7"/>
    </row>
    <row r="96" customFormat="false" ht="13.5" hidden="false" customHeight="true" outlineLevel="0" collapsed="false">
      <c r="A96" s="8" t="n">
        <f aca="false">PRODUTOS!A96</f>
        <v>0</v>
      </c>
      <c r="B96" s="8" t="n">
        <f aca="false">PRODUTOS!B96</f>
        <v>0</v>
      </c>
      <c r="C96" s="7"/>
      <c r="D96" s="7"/>
      <c r="E96" s="7"/>
      <c r="F96" s="7"/>
      <c r="G96" s="8" t="n">
        <f aca="false">PRODUTOS!C96</f>
        <v>0</v>
      </c>
      <c r="H96" s="8" t="n">
        <f aca="false">PRODUTOS!D96</f>
        <v>0</v>
      </c>
      <c r="I96" s="9" t="str">
        <f aca="false">IF(SAIDA!F96="",SAIDA!B96,SAIDA!F96)</f>
        <v/>
      </c>
      <c r="J96" s="10" t="str">
        <f aca="false">IF(SAIDA!F96="",SAIDA!C96,SAIDA!J96)</f>
        <v/>
      </c>
      <c r="K96" s="11" t="str">
        <f aca="false">IF(SAIDA!F96="",SAIDA!D96,SAIDA!K96)</f>
        <v/>
      </c>
      <c r="L96" s="12" t="str">
        <f aca="false">IF(SAIDA!F96="",SAIDA!E96,SAIDA!L96)</f>
        <v/>
      </c>
      <c r="N96" s="7"/>
      <c r="P96" s="7"/>
    </row>
    <row r="97" customFormat="false" ht="13.5" hidden="false" customHeight="true" outlineLevel="0" collapsed="false">
      <c r="A97" s="8" t="n">
        <f aca="false">PRODUTOS!A97</f>
        <v>0</v>
      </c>
      <c r="B97" s="8" t="n">
        <f aca="false">PRODUTOS!B97</f>
        <v>0</v>
      </c>
      <c r="C97" s="7"/>
      <c r="D97" s="7"/>
      <c r="E97" s="7"/>
      <c r="F97" s="7"/>
      <c r="G97" s="8" t="n">
        <f aca="false">PRODUTOS!C97</f>
        <v>0</v>
      </c>
      <c r="H97" s="8" t="n">
        <f aca="false">PRODUTOS!D97</f>
        <v>0</v>
      </c>
      <c r="I97" s="9" t="str">
        <f aca="false">IF(SAIDA!F97="",SAIDA!B97,SAIDA!F97)</f>
        <v/>
      </c>
      <c r="J97" s="10" t="str">
        <f aca="false">IF(SAIDA!F97="",SAIDA!C97,SAIDA!J97)</f>
        <v/>
      </c>
      <c r="K97" s="11" t="str">
        <f aca="false">IF(SAIDA!F97="",SAIDA!D97,SAIDA!K97)</f>
        <v/>
      </c>
      <c r="L97" s="12" t="str">
        <f aca="false">IF(SAIDA!F97="",SAIDA!E97,SAIDA!L97)</f>
        <v/>
      </c>
      <c r="N97" s="7"/>
      <c r="P97" s="7"/>
    </row>
    <row r="98" customFormat="false" ht="13.5" hidden="false" customHeight="true" outlineLevel="0" collapsed="false">
      <c r="A98" s="8" t="n">
        <f aca="false">PRODUTOS!A98</f>
        <v>0</v>
      </c>
      <c r="B98" s="8" t="n">
        <f aca="false">PRODUTOS!B98</f>
        <v>0</v>
      </c>
      <c r="C98" s="7"/>
      <c r="D98" s="7"/>
      <c r="E98" s="7"/>
      <c r="F98" s="7"/>
      <c r="G98" s="8" t="n">
        <f aca="false">PRODUTOS!C98</f>
        <v>0</v>
      </c>
      <c r="H98" s="8" t="n">
        <f aca="false">PRODUTOS!D98</f>
        <v>0</v>
      </c>
      <c r="I98" s="9" t="str">
        <f aca="false">IF(SAIDA!F98="",SAIDA!B98,SAIDA!F98)</f>
        <v/>
      </c>
      <c r="J98" s="10" t="str">
        <f aca="false">IF(SAIDA!F98="",SAIDA!C98,SAIDA!J98)</f>
        <v/>
      </c>
      <c r="K98" s="11" t="str">
        <f aca="false">IF(SAIDA!F98="",SAIDA!D98,SAIDA!K98)</f>
        <v/>
      </c>
      <c r="L98" s="12" t="str">
        <f aca="false">IF(SAIDA!F98="",SAIDA!E98,SAIDA!L98)</f>
        <v/>
      </c>
      <c r="N98" s="7"/>
      <c r="P98" s="7"/>
    </row>
    <row r="99" customFormat="false" ht="13.5" hidden="false" customHeight="true" outlineLevel="0" collapsed="false">
      <c r="A99" s="8" t="n">
        <f aca="false">PRODUTOS!A99</f>
        <v>0</v>
      </c>
      <c r="B99" s="8" t="n">
        <f aca="false">PRODUTOS!B99</f>
        <v>0</v>
      </c>
      <c r="C99" s="7"/>
      <c r="D99" s="7"/>
      <c r="E99" s="7"/>
      <c r="F99" s="7"/>
      <c r="G99" s="8" t="n">
        <f aca="false">PRODUTOS!C99</f>
        <v>0</v>
      </c>
      <c r="H99" s="8" t="n">
        <f aca="false">PRODUTOS!D99</f>
        <v>0</v>
      </c>
      <c r="I99" s="9" t="str">
        <f aca="false">IF(SAIDA!F99="",SAIDA!B99,SAIDA!F99)</f>
        <v/>
      </c>
      <c r="J99" s="10" t="str">
        <f aca="false">IF(SAIDA!F99="",SAIDA!C99,SAIDA!J99)</f>
        <v/>
      </c>
      <c r="K99" s="11" t="str">
        <f aca="false">IF(SAIDA!F99="",SAIDA!D99,SAIDA!K99)</f>
        <v/>
      </c>
      <c r="L99" s="12" t="str">
        <f aca="false">IF(SAIDA!F99="",SAIDA!E99,SAIDA!L99)</f>
        <v/>
      </c>
      <c r="N99" s="7"/>
      <c r="P99" s="7"/>
    </row>
    <row r="100" customFormat="false" ht="13.5" hidden="false" customHeight="true" outlineLevel="0" collapsed="false">
      <c r="A100" s="8" t="n">
        <f aca="false">PRODUTOS!A100</f>
        <v>0</v>
      </c>
      <c r="B100" s="8" t="n">
        <f aca="false">PRODUTOS!B100</f>
        <v>0</v>
      </c>
      <c r="C100" s="7"/>
      <c r="D100" s="7"/>
      <c r="E100" s="7"/>
      <c r="F100" s="7"/>
      <c r="G100" s="8" t="n">
        <f aca="false">PRODUTOS!C100</f>
        <v>0</v>
      </c>
      <c r="H100" s="8" t="n">
        <f aca="false">PRODUTOS!D100</f>
        <v>0</v>
      </c>
      <c r="I100" s="9" t="str">
        <f aca="false">IF(SAIDA!F100="",SAIDA!B100,SAIDA!F100)</f>
        <v/>
      </c>
      <c r="J100" s="10" t="str">
        <f aca="false">IF(SAIDA!F100="",SAIDA!C100,SAIDA!J100)</f>
        <v/>
      </c>
      <c r="K100" s="11" t="str">
        <f aca="false">IF(SAIDA!F100="",SAIDA!D100,SAIDA!K100)</f>
        <v/>
      </c>
      <c r="L100" s="12" t="str">
        <f aca="false">IF(SAIDA!F100="",SAIDA!E100,SAIDA!L100)</f>
        <v/>
      </c>
      <c r="N100" s="7"/>
      <c r="P100" s="7"/>
    </row>
    <row r="101" customFormat="false" ht="13.5" hidden="false" customHeight="true" outlineLevel="0" collapsed="false">
      <c r="A101" s="8" t="n">
        <f aca="false">PRODUTOS!A101</f>
        <v>0</v>
      </c>
      <c r="B101" s="8" t="n">
        <f aca="false">PRODUTOS!B101</f>
        <v>0</v>
      </c>
      <c r="C101" s="7"/>
      <c r="D101" s="7"/>
      <c r="E101" s="7"/>
      <c r="F101" s="7"/>
      <c r="G101" s="8" t="n">
        <f aca="false">PRODUTOS!C101</f>
        <v>0</v>
      </c>
      <c r="H101" s="8" t="n">
        <f aca="false">PRODUTOS!D101</f>
        <v>0</v>
      </c>
      <c r="I101" s="9" t="str">
        <f aca="false">IF(SAIDA!F101="",SAIDA!B101,SAIDA!F101)</f>
        <v/>
      </c>
      <c r="J101" s="10" t="str">
        <f aca="false">IF(SAIDA!F101="",SAIDA!C101,SAIDA!J101)</f>
        <v/>
      </c>
      <c r="K101" s="11" t="str">
        <f aca="false">IF(SAIDA!F101="",SAIDA!D101,SAIDA!K101)</f>
        <v/>
      </c>
      <c r="L101" s="12" t="str">
        <f aca="false">IF(SAIDA!F101="",SAIDA!E101,SAIDA!L101)</f>
        <v/>
      </c>
      <c r="N101" s="7"/>
      <c r="P101" s="7"/>
    </row>
    <row r="102" customFormat="false" ht="13.5" hidden="false" customHeight="true" outlineLevel="0" collapsed="false">
      <c r="A102" s="8" t="n">
        <f aca="false">PRODUTOS!A102</f>
        <v>0</v>
      </c>
      <c r="B102" s="8" t="n">
        <f aca="false">PRODUTOS!B102</f>
        <v>0</v>
      </c>
      <c r="C102" s="7"/>
      <c r="D102" s="7"/>
      <c r="E102" s="7"/>
      <c r="F102" s="7"/>
      <c r="G102" s="8" t="n">
        <f aca="false">PRODUTOS!C102</f>
        <v>0</v>
      </c>
      <c r="H102" s="8" t="n">
        <f aca="false">PRODUTOS!D102</f>
        <v>0</v>
      </c>
      <c r="I102" s="9" t="str">
        <f aca="false">IF(SAIDA!F102="",SAIDA!B102,SAIDA!F102)</f>
        <v/>
      </c>
      <c r="J102" s="10" t="str">
        <f aca="false">IF(SAIDA!F102="",SAIDA!C102,SAIDA!J102)</f>
        <v/>
      </c>
      <c r="K102" s="11" t="str">
        <f aca="false">IF(SAIDA!F102="",SAIDA!D102,SAIDA!K102)</f>
        <v/>
      </c>
      <c r="L102" s="12" t="str">
        <f aca="false">IF(SAIDA!F102="",SAIDA!E102,SAIDA!L102)</f>
        <v/>
      </c>
      <c r="N102" s="7"/>
      <c r="P102" s="7"/>
    </row>
    <row r="103" customFormat="false" ht="13.5" hidden="false" customHeight="true" outlineLevel="0" collapsed="false">
      <c r="A103" s="8" t="n">
        <f aca="false">PRODUTOS!A103</f>
        <v>0</v>
      </c>
      <c r="B103" s="8" t="n">
        <f aca="false">PRODUTOS!B103</f>
        <v>0</v>
      </c>
      <c r="C103" s="7"/>
      <c r="D103" s="7"/>
      <c r="E103" s="7"/>
      <c r="F103" s="7"/>
      <c r="G103" s="8" t="n">
        <f aca="false">PRODUTOS!C103</f>
        <v>0</v>
      </c>
      <c r="H103" s="8" t="n">
        <f aca="false">PRODUTOS!D103</f>
        <v>0</v>
      </c>
      <c r="I103" s="9" t="str">
        <f aca="false">IF(SAIDA!F103="",SAIDA!B103,SAIDA!F103)</f>
        <v/>
      </c>
      <c r="J103" s="10" t="str">
        <f aca="false">IF(SAIDA!F103="",SAIDA!C103,SAIDA!J103)</f>
        <v/>
      </c>
      <c r="K103" s="11" t="str">
        <f aca="false">IF(SAIDA!F103="",SAIDA!D103,SAIDA!K103)</f>
        <v/>
      </c>
      <c r="L103" s="12" t="str">
        <f aca="false">IF(SAIDA!F103="",SAIDA!E103,SAIDA!L103)</f>
        <v/>
      </c>
      <c r="N103" s="7"/>
      <c r="P103" s="7"/>
    </row>
    <row r="104" customFormat="false" ht="13.5" hidden="false" customHeight="true" outlineLevel="0" collapsed="false">
      <c r="A104" s="8" t="n">
        <f aca="false">PRODUTOS!A104</f>
        <v>0</v>
      </c>
      <c r="B104" s="8" t="n">
        <f aca="false">PRODUTOS!B104</f>
        <v>0</v>
      </c>
      <c r="C104" s="7"/>
      <c r="D104" s="7"/>
      <c r="E104" s="7"/>
      <c r="F104" s="7"/>
      <c r="G104" s="8" t="n">
        <f aca="false">PRODUTOS!C104</f>
        <v>0</v>
      </c>
      <c r="H104" s="8" t="n">
        <f aca="false">PRODUTOS!D104</f>
        <v>0</v>
      </c>
      <c r="I104" s="9" t="str">
        <f aca="false">IF(SAIDA!F104="",SAIDA!B104,SAIDA!F104)</f>
        <v/>
      </c>
      <c r="J104" s="10" t="str">
        <f aca="false">IF(SAIDA!F104="",SAIDA!C104,SAIDA!J104)</f>
        <v/>
      </c>
      <c r="K104" s="11" t="str">
        <f aca="false">IF(SAIDA!F104="",SAIDA!D104,SAIDA!K104)</f>
        <v/>
      </c>
      <c r="L104" s="12" t="str">
        <f aca="false">IF(SAIDA!F104="",SAIDA!E104,SAIDA!L104)</f>
        <v/>
      </c>
      <c r="N104" s="7"/>
      <c r="P104" s="7"/>
    </row>
    <row r="105" customFormat="false" ht="13.5" hidden="false" customHeight="true" outlineLevel="0" collapsed="false">
      <c r="A105" s="8" t="n">
        <f aca="false">PRODUTOS!A105</f>
        <v>0</v>
      </c>
      <c r="B105" s="8" t="n">
        <f aca="false">PRODUTOS!B105</f>
        <v>0</v>
      </c>
      <c r="C105" s="7"/>
      <c r="D105" s="7"/>
      <c r="E105" s="7"/>
      <c r="F105" s="7"/>
      <c r="G105" s="8" t="n">
        <f aca="false">PRODUTOS!C105</f>
        <v>0</v>
      </c>
      <c r="H105" s="8" t="n">
        <f aca="false">PRODUTOS!D105</f>
        <v>0</v>
      </c>
      <c r="I105" s="9" t="str">
        <f aca="false">IF(SAIDA!F105="",SAIDA!B105,SAIDA!F105)</f>
        <v/>
      </c>
      <c r="J105" s="10" t="str">
        <f aca="false">IF(SAIDA!F105="",SAIDA!C105,SAIDA!J105)</f>
        <v/>
      </c>
      <c r="K105" s="11" t="str">
        <f aca="false">IF(SAIDA!F105="",SAIDA!D105,SAIDA!K105)</f>
        <v/>
      </c>
      <c r="L105" s="12" t="str">
        <f aca="false">IF(SAIDA!F105="",SAIDA!E105,SAIDA!L105)</f>
        <v/>
      </c>
      <c r="N105" s="7"/>
      <c r="P105" s="7"/>
    </row>
    <row r="106" customFormat="false" ht="13.5" hidden="false" customHeight="true" outlineLevel="0" collapsed="false">
      <c r="A106" s="8" t="n">
        <f aca="false">PRODUTOS!A106</f>
        <v>0</v>
      </c>
      <c r="B106" s="8" t="n">
        <f aca="false">PRODUTOS!B106</f>
        <v>0</v>
      </c>
      <c r="C106" s="7"/>
      <c r="D106" s="7"/>
      <c r="E106" s="7"/>
      <c r="F106" s="7"/>
      <c r="G106" s="8" t="n">
        <f aca="false">PRODUTOS!C106</f>
        <v>0</v>
      </c>
      <c r="H106" s="8" t="n">
        <f aca="false">PRODUTOS!D106</f>
        <v>0</v>
      </c>
      <c r="I106" s="9" t="str">
        <f aca="false">IF(SAIDA!F106="",SAIDA!B106,SAIDA!F106)</f>
        <v/>
      </c>
      <c r="J106" s="10" t="str">
        <f aca="false">IF(SAIDA!F106="",SAIDA!C106,SAIDA!J106)</f>
        <v/>
      </c>
      <c r="K106" s="11" t="str">
        <f aca="false">IF(SAIDA!F106="",SAIDA!D106,SAIDA!K106)</f>
        <v/>
      </c>
      <c r="L106" s="12" t="str">
        <f aca="false">IF(SAIDA!F106="",SAIDA!E106,SAIDA!L106)</f>
        <v/>
      </c>
      <c r="N106" s="7"/>
      <c r="P106" s="7"/>
    </row>
    <row r="107" customFormat="false" ht="13.5" hidden="false" customHeight="true" outlineLevel="0" collapsed="false">
      <c r="A107" s="8" t="n">
        <f aca="false">PRODUTOS!A107</f>
        <v>0</v>
      </c>
      <c r="B107" s="8" t="n">
        <f aca="false">PRODUTOS!B107</f>
        <v>0</v>
      </c>
      <c r="C107" s="7"/>
      <c r="D107" s="7"/>
      <c r="E107" s="7"/>
      <c r="F107" s="7"/>
      <c r="G107" s="8" t="n">
        <f aca="false">PRODUTOS!C107</f>
        <v>0</v>
      </c>
      <c r="H107" s="8" t="n">
        <f aca="false">PRODUTOS!D107</f>
        <v>0</v>
      </c>
      <c r="I107" s="9" t="str">
        <f aca="false">IF(SAIDA!F107="",SAIDA!B107,SAIDA!F107)</f>
        <v/>
      </c>
      <c r="J107" s="10" t="str">
        <f aca="false">IF(SAIDA!F107="",SAIDA!C107,SAIDA!J107)</f>
        <v/>
      </c>
      <c r="K107" s="11" t="str">
        <f aca="false">IF(SAIDA!F107="",SAIDA!D107,SAIDA!K107)</f>
        <v/>
      </c>
      <c r="L107" s="12" t="str">
        <f aca="false">IF(SAIDA!F107="",SAIDA!E107,SAIDA!L107)</f>
        <v/>
      </c>
      <c r="N107" s="7"/>
      <c r="P107" s="7"/>
    </row>
    <row r="108" customFormat="false" ht="13.5" hidden="false" customHeight="true" outlineLevel="0" collapsed="false">
      <c r="A108" s="8" t="n">
        <f aca="false">PRODUTOS!A108</f>
        <v>0</v>
      </c>
      <c r="B108" s="8" t="n">
        <f aca="false">PRODUTOS!B108</f>
        <v>0</v>
      </c>
      <c r="C108" s="7"/>
      <c r="D108" s="7"/>
      <c r="E108" s="7"/>
      <c r="F108" s="7"/>
      <c r="G108" s="8" t="n">
        <f aca="false">PRODUTOS!C108</f>
        <v>0</v>
      </c>
      <c r="H108" s="8" t="n">
        <f aca="false">PRODUTOS!D108</f>
        <v>0</v>
      </c>
      <c r="I108" s="9" t="str">
        <f aca="false">IF(SAIDA!F108="",SAIDA!B108,SAIDA!F108)</f>
        <v/>
      </c>
      <c r="J108" s="10" t="str">
        <f aca="false">IF(SAIDA!F108="",SAIDA!C108,SAIDA!J108)</f>
        <v/>
      </c>
      <c r="K108" s="11" t="str">
        <f aca="false">IF(SAIDA!F108="",SAIDA!D108,SAIDA!K108)</f>
        <v/>
      </c>
      <c r="L108" s="12" t="str">
        <f aca="false">IF(SAIDA!F108="",SAIDA!E108,SAIDA!L108)</f>
        <v/>
      </c>
      <c r="N108" s="7"/>
      <c r="P108" s="7"/>
    </row>
    <row r="109" customFormat="false" ht="13.5" hidden="false" customHeight="true" outlineLevel="0" collapsed="false">
      <c r="A109" s="8" t="n">
        <f aca="false">PRODUTOS!A109</f>
        <v>0</v>
      </c>
      <c r="B109" s="8" t="n">
        <f aca="false">PRODUTOS!B109</f>
        <v>0</v>
      </c>
      <c r="C109" s="7"/>
      <c r="D109" s="7"/>
      <c r="E109" s="7"/>
      <c r="F109" s="7"/>
      <c r="G109" s="8" t="n">
        <f aca="false">PRODUTOS!C109</f>
        <v>0</v>
      </c>
      <c r="H109" s="8" t="n">
        <f aca="false">PRODUTOS!D109</f>
        <v>0</v>
      </c>
      <c r="I109" s="9" t="str">
        <f aca="false">IF(SAIDA!F109="",SAIDA!B109,SAIDA!F109)</f>
        <v/>
      </c>
      <c r="J109" s="10" t="str">
        <f aca="false">IF(SAIDA!F109="",SAIDA!C109,SAIDA!J109)</f>
        <v/>
      </c>
      <c r="K109" s="11" t="str">
        <f aca="false">IF(SAIDA!F109="",SAIDA!D109,SAIDA!K109)</f>
        <v/>
      </c>
      <c r="L109" s="12" t="str">
        <f aca="false">IF(SAIDA!F109="",SAIDA!E109,SAIDA!L109)</f>
        <v/>
      </c>
      <c r="N109" s="7"/>
      <c r="P109" s="7"/>
    </row>
    <row r="110" customFormat="false" ht="13.5" hidden="false" customHeight="true" outlineLevel="0" collapsed="false">
      <c r="A110" s="8" t="n">
        <f aca="false">PRODUTOS!A110</f>
        <v>0</v>
      </c>
      <c r="B110" s="8" t="n">
        <f aca="false">PRODUTOS!B110</f>
        <v>0</v>
      </c>
      <c r="C110" s="7"/>
      <c r="D110" s="7"/>
      <c r="E110" s="7"/>
      <c r="F110" s="7"/>
      <c r="G110" s="8" t="n">
        <f aca="false">PRODUTOS!C110</f>
        <v>0</v>
      </c>
      <c r="H110" s="8" t="n">
        <f aca="false">PRODUTOS!D110</f>
        <v>0</v>
      </c>
      <c r="I110" s="9" t="str">
        <f aca="false">IF(SAIDA!F110="",SAIDA!B110,SAIDA!F110)</f>
        <v/>
      </c>
      <c r="J110" s="10" t="str">
        <f aca="false">IF(SAIDA!F110="",SAIDA!C110,SAIDA!J110)</f>
        <v/>
      </c>
      <c r="K110" s="11" t="str">
        <f aca="false">IF(SAIDA!F110="",SAIDA!D110,SAIDA!K110)</f>
        <v/>
      </c>
      <c r="L110" s="12" t="str">
        <f aca="false">IF(SAIDA!F110="",SAIDA!E110,SAIDA!L110)</f>
        <v/>
      </c>
      <c r="N110" s="7"/>
      <c r="P110" s="7"/>
    </row>
    <row r="111" customFormat="false" ht="13.5" hidden="false" customHeight="true" outlineLevel="0" collapsed="false">
      <c r="A111" s="8" t="n">
        <f aca="false">PRODUTOS!A111</f>
        <v>0</v>
      </c>
      <c r="B111" s="8" t="n">
        <f aca="false">PRODUTOS!B111</f>
        <v>0</v>
      </c>
      <c r="C111" s="7"/>
      <c r="D111" s="7"/>
      <c r="E111" s="7"/>
      <c r="F111" s="7"/>
      <c r="G111" s="8" t="n">
        <f aca="false">PRODUTOS!C111</f>
        <v>0</v>
      </c>
      <c r="H111" s="8" t="n">
        <f aca="false">PRODUTOS!D111</f>
        <v>0</v>
      </c>
      <c r="I111" s="9" t="str">
        <f aca="false">IF(SAIDA!F111="",SAIDA!B111,SAIDA!F111)</f>
        <v/>
      </c>
      <c r="J111" s="10" t="str">
        <f aca="false">IF(SAIDA!F111="",SAIDA!C111,SAIDA!J111)</f>
        <v/>
      </c>
      <c r="K111" s="11" t="str">
        <f aca="false">IF(SAIDA!F111="",SAIDA!D111,SAIDA!K111)</f>
        <v/>
      </c>
      <c r="L111" s="12" t="str">
        <f aca="false">IF(SAIDA!F111="",SAIDA!E111,SAIDA!L111)</f>
        <v/>
      </c>
      <c r="N111" s="7"/>
      <c r="P111" s="7"/>
    </row>
    <row r="112" customFormat="false" ht="13.5" hidden="false" customHeight="true" outlineLevel="0" collapsed="false">
      <c r="A112" s="8" t="n">
        <f aca="false">PRODUTOS!A112</f>
        <v>0</v>
      </c>
      <c r="B112" s="8" t="n">
        <f aca="false">PRODUTOS!B112</f>
        <v>0</v>
      </c>
      <c r="C112" s="7"/>
      <c r="D112" s="7"/>
      <c r="E112" s="7"/>
      <c r="F112" s="7"/>
      <c r="G112" s="8" t="n">
        <f aca="false">PRODUTOS!C112</f>
        <v>0</v>
      </c>
      <c r="H112" s="8" t="n">
        <f aca="false">PRODUTOS!D112</f>
        <v>0</v>
      </c>
      <c r="I112" s="9" t="str">
        <f aca="false">IF(SAIDA!F112="",SAIDA!B112,SAIDA!F112)</f>
        <v/>
      </c>
      <c r="J112" s="10" t="str">
        <f aca="false">IF(SAIDA!F112="",SAIDA!C112,SAIDA!J112)</f>
        <v/>
      </c>
      <c r="K112" s="11" t="str">
        <f aca="false">IF(SAIDA!F112="",SAIDA!D112,SAIDA!K112)</f>
        <v/>
      </c>
      <c r="L112" s="12" t="str">
        <f aca="false">IF(SAIDA!F112="",SAIDA!E112,SAIDA!L112)</f>
        <v/>
      </c>
      <c r="N112" s="7"/>
      <c r="P112" s="7"/>
    </row>
    <row r="113" customFormat="false" ht="13.5" hidden="false" customHeight="true" outlineLevel="0" collapsed="false">
      <c r="A113" s="8" t="n">
        <f aca="false">PRODUTOS!A113</f>
        <v>0</v>
      </c>
      <c r="B113" s="8" t="n">
        <f aca="false">PRODUTOS!B113</f>
        <v>0</v>
      </c>
      <c r="C113" s="7"/>
      <c r="D113" s="7"/>
      <c r="E113" s="7"/>
      <c r="F113" s="7"/>
      <c r="G113" s="8" t="n">
        <f aca="false">PRODUTOS!C113</f>
        <v>0</v>
      </c>
      <c r="H113" s="8" t="n">
        <f aca="false">PRODUTOS!D113</f>
        <v>0</v>
      </c>
      <c r="I113" s="9" t="str">
        <f aca="false">IF(SAIDA!F113="",SAIDA!B113,SAIDA!F113)</f>
        <v/>
      </c>
      <c r="J113" s="10" t="str">
        <f aca="false">IF(SAIDA!F113="",SAIDA!C113,SAIDA!J113)</f>
        <v/>
      </c>
      <c r="K113" s="11" t="str">
        <f aca="false">IF(SAIDA!F113="",SAIDA!D113,SAIDA!K113)</f>
        <v/>
      </c>
      <c r="L113" s="12" t="str">
        <f aca="false">IF(SAIDA!F113="",SAIDA!E113,SAIDA!L113)</f>
        <v/>
      </c>
      <c r="N113" s="7"/>
      <c r="P113" s="7"/>
    </row>
    <row r="114" customFormat="false" ht="13.5" hidden="false" customHeight="true" outlineLevel="0" collapsed="false">
      <c r="A114" s="8" t="n">
        <f aca="false">PRODUTOS!A114</f>
        <v>0</v>
      </c>
      <c r="B114" s="8" t="n">
        <f aca="false">PRODUTOS!B114</f>
        <v>0</v>
      </c>
      <c r="C114" s="7"/>
      <c r="D114" s="7"/>
      <c r="E114" s="7"/>
      <c r="F114" s="7"/>
      <c r="G114" s="8" t="n">
        <f aca="false">PRODUTOS!C114</f>
        <v>0</v>
      </c>
      <c r="H114" s="8" t="n">
        <f aca="false">PRODUTOS!D114</f>
        <v>0</v>
      </c>
      <c r="I114" s="9" t="str">
        <f aca="false">IF(SAIDA!F114="",SAIDA!B114,SAIDA!F114)</f>
        <v/>
      </c>
      <c r="J114" s="10" t="str">
        <f aca="false">IF(SAIDA!F114="",SAIDA!C114,SAIDA!J114)</f>
        <v/>
      </c>
      <c r="K114" s="11" t="str">
        <f aca="false">IF(SAIDA!F114="",SAIDA!D114,SAIDA!K114)</f>
        <v/>
      </c>
      <c r="L114" s="12" t="str">
        <f aca="false">IF(SAIDA!F114="",SAIDA!E114,SAIDA!L114)</f>
        <v/>
      </c>
      <c r="N114" s="7"/>
      <c r="P114" s="7"/>
    </row>
    <row r="115" customFormat="false" ht="13.5" hidden="false" customHeight="true" outlineLevel="0" collapsed="false">
      <c r="A115" s="8" t="n">
        <f aca="false">PRODUTOS!A115</f>
        <v>0</v>
      </c>
      <c r="B115" s="8" t="n">
        <f aca="false">PRODUTOS!B115</f>
        <v>0</v>
      </c>
      <c r="C115" s="7"/>
      <c r="D115" s="7"/>
      <c r="E115" s="7"/>
      <c r="F115" s="7"/>
      <c r="G115" s="8" t="n">
        <f aca="false">PRODUTOS!C115</f>
        <v>0</v>
      </c>
      <c r="H115" s="8" t="n">
        <f aca="false">PRODUTOS!D115</f>
        <v>0</v>
      </c>
      <c r="I115" s="9" t="str">
        <f aca="false">IF(SAIDA!F115="",SAIDA!B115,SAIDA!F115)</f>
        <v/>
      </c>
      <c r="J115" s="10" t="str">
        <f aca="false">IF(SAIDA!F115="",SAIDA!C115,SAIDA!J115)</f>
        <v/>
      </c>
      <c r="K115" s="11" t="str">
        <f aca="false">IF(SAIDA!F115="",SAIDA!D115,SAIDA!K115)</f>
        <v/>
      </c>
      <c r="L115" s="12" t="str">
        <f aca="false">IF(SAIDA!F115="",SAIDA!E115,SAIDA!L115)</f>
        <v/>
      </c>
      <c r="N115" s="7"/>
      <c r="P115" s="7"/>
    </row>
    <row r="116" customFormat="false" ht="13.5" hidden="false" customHeight="true" outlineLevel="0" collapsed="false">
      <c r="A116" s="8" t="n">
        <f aca="false">PRODUTOS!A116</f>
        <v>0</v>
      </c>
      <c r="B116" s="8" t="n">
        <f aca="false">PRODUTOS!B116</f>
        <v>0</v>
      </c>
      <c r="C116" s="7"/>
      <c r="D116" s="7"/>
      <c r="E116" s="7"/>
      <c r="F116" s="7"/>
      <c r="G116" s="8" t="n">
        <f aca="false">PRODUTOS!C116</f>
        <v>0</v>
      </c>
      <c r="H116" s="8" t="n">
        <f aca="false">PRODUTOS!D116</f>
        <v>0</v>
      </c>
      <c r="I116" s="9" t="str">
        <f aca="false">IF(SAIDA!F116="",SAIDA!B116,SAIDA!F116)</f>
        <v/>
      </c>
      <c r="J116" s="10" t="str">
        <f aca="false">IF(SAIDA!F116="",SAIDA!C116,SAIDA!J116)</f>
        <v/>
      </c>
      <c r="K116" s="11" t="str">
        <f aca="false">IF(SAIDA!F116="",SAIDA!D116,SAIDA!K116)</f>
        <v/>
      </c>
      <c r="L116" s="12" t="str">
        <f aca="false">IF(SAIDA!F116="",SAIDA!E116,SAIDA!L116)</f>
        <v/>
      </c>
      <c r="N116" s="7"/>
      <c r="P116" s="7"/>
    </row>
    <row r="117" customFormat="false" ht="13.5" hidden="false" customHeight="true" outlineLevel="0" collapsed="false">
      <c r="A117" s="8" t="n">
        <f aca="false">PRODUTOS!A117</f>
        <v>0</v>
      </c>
      <c r="B117" s="8" t="n">
        <f aca="false">PRODUTOS!B117</f>
        <v>0</v>
      </c>
      <c r="C117" s="7"/>
      <c r="D117" s="7"/>
      <c r="E117" s="7"/>
      <c r="F117" s="7"/>
      <c r="G117" s="8" t="n">
        <f aca="false">PRODUTOS!C117</f>
        <v>0</v>
      </c>
      <c r="H117" s="8" t="n">
        <f aca="false">PRODUTOS!D117</f>
        <v>0</v>
      </c>
      <c r="I117" s="9" t="str">
        <f aca="false">IF(SAIDA!F117="",SAIDA!B117,SAIDA!F117)</f>
        <v/>
      </c>
      <c r="J117" s="10" t="str">
        <f aca="false">IF(SAIDA!F117="",SAIDA!C117,SAIDA!J117)</f>
        <v/>
      </c>
      <c r="K117" s="11" t="str">
        <f aca="false">IF(SAIDA!F117="",SAIDA!D117,SAIDA!K117)</f>
        <v/>
      </c>
      <c r="L117" s="12" t="str">
        <f aca="false">IF(SAIDA!F117="",SAIDA!E117,SAIDA!L117)</f>
        <v/>
      </c>
      <c r="N117" s="7"/>
      <c r="P117" s="7"/>
    </row>
    <row r="118" customFormat="false" ht="13.5" hidden="false" customHeight="true" outlineLevel="0" collapsed="false">
      <c r="A118" s="8" t="n">
        <f aca="false">PRODUTOS!A118</f>
        <v>0</v>
      </c>
      <c r="B118" s="8" t="n">
        <f aca="false">PRODUTOS!B118</f>
        <v>0</v>
      </c>
      <c r="C118" s="7"/>
      <c r="D118" s="7"/>
      <c r="E118" s="7"/>
      <c r="F118" s="7"/>
      <c r="G118" s="8" t="n">
        <f aca="false">PRODUTOS!C118</f>
        <v>0</v>
      </c>
      <c r="H118" s="8" t="n">
        <f aca="false">PRODUTOS!D118</f>
        <v>0</v>
      </c>
      <c r="I118" s="9" t="str">
        <f aca="false">IF(SAIDA!F118="",SAIDA!B118,SAIDA!F118)</f>
        <v/>
      </c>
      <c r="J118" s="10" t="str">
        <f aca="false">IF(SAIDA!F118="",SAIDA!C118,SAIDA!J118)</f>
        <v/>
      </c>
      <c r="K118" s="11" t="str">
        <f aca="false">IF(SAIDA!F118="",SAIDA!D118,SAIDA!K118)</f>
        <v/>
      </c>
      <c r="L118" s="12" t="str">
        <f aca="false">IF(SAIDA!F118="",SAIDA!E118,SAIDA!L118)</f>
        <v/>
      </c>
      <c r="N118" s="7"/>
      <c r="P118" s="7"/>
    </row>
    <row r="119" customFormat="false" ht="13.5" hidden="false" customHeight="true" outlineLevel="0" collapsed="false">
      <c r="A119" s="8" t="n">
        <f aca="false">PRODUTOS!A119</f>
        <v>0</v>
      </c>
      <c r="B119" s="8" t="n">
        <f aca="false">PRODUTOS!B119</f>
        <v>0</v>
      </c>
      <c r="C119" s="7"/>
      <c r="D119" s="7"/>
      <c r="E119" s="7"/>
      <c r="F119" s="7"/>
      <c r="G119" s="8" t="n">
        <f aca="false">PRODUTOS!C119</f>
        <v>0</v>
      </c>
      <c r="H119" s="8" t="n">
        <f aca="false">PRODUTOS!D119</f>
        <v>0</v>
      </c>
      <c r="I119" s="9" t="str">
        <f aca="false">IF(SAIDA!F119="",SAIDA!B119,SAIDA!F119)</f>
        <v/>
      </c>
      <c r="J119" s="10" t="str">
        <f aca="false">IF(SAIDA!F119="",SAIDA!C119,SAIDA!J119)</f>
        <v/>
      </c>
      <c r="K119" s="11" t="str">
        <f aca="false">IF(SAIDA!F119="",SAIDA!D119,SAIDA!K119)</f>
        <v/>
      </c>
      <c r="L119" s="12" t="str">
        <f aca="false">IF(SAIDA!F119="",SAIDA!E119,SAIDA!L119)</f>
        <v/>
      </c>
      <c r="N119" s="7"/>
      <c r="P119" s="7"/>
    </row>
    <row r="120" customFormat="false" ht="13.5" hidden="false" customHeight="true" outlineLevel="0" collapsed="false">
      <c r="A120" s="8" t="n">
        <f aca="false">PRODUTOS!A120</f>
        <v>0</v>
      </c>
      <c r="B120" s="8" t="n">
        <f aca="false">PRODUTOS!B120</f>
        <v>0</v>
      </c>
      <c r="C120" s="7"/>
      <c r="D120" s="7"/>
      <c r="E120" s="7"/>
      <c r="F120" s="7"/>
      <c r="G120" s="8" t="n">
        <f aca="false">PRODUTOS!C120</f>
        <v>0</v>
      </c>
      <c r="H120" s="8" t="n">
        <f aca="false">PRODUTOS!D120</f>
        <v>0</v>
      </c>
      <c r="I120" s="9" t="str">
        <f aca="false">IF(SAIDA!F120="",SAIDA!B120,SAIDA!F120)</f>
        <v/>
      </c>
      <c r="J120" s="10" t="str">
        <f aca="false">IF(SAIDA!F120="",SAIDA!C120,SAIDA!J120)</f>
        <v/>
      </c>
      <c r="K120" s="11" t="str">
        <f aca="false">IF(SAIDA!F120="",SAIDA!D120,SAIDA!K120)</f>
        <v/>
      </c>
      <c r="L120" s="12" t="str">
        <f aca="false">IF(SAIDA!F120="",SAIDA!E120,SAIDA!L120)</f>
        <v/>
      </c>
      <c r="N120" s="7"/>
      <c r="P120" s="7"/>
    </row>
    <row r="121" customFormat="false" ht="13.5" hidden="false" customHeight="true" outlineLevel="0" collapsed="false">
      <c r="A121" s="8" t="n">
        <f aca="false">PRODUTOS!A121</f>
        <v>0</v>
      </c>
      <c r="B121" s="8" t="n">
        <f aca="false">PRODUTOS!B121</f>
        <v>0</v>
      </c>
      <c r="C121" s="7"/>
      <c r="D121" s="7"/>
      <c r="E121" s="7"/>
      <c r="F121" s="7"/>
      <c r="G121" s="8" t="n">
        <f aca="false">PRODUTOS!C121</f>
        <v>0</v>
      </c>
      <c r="H121" s="8" t="n">
        <f aca="false">PRODUTOS!D121</f>
        <v>0</v>
      </c>
      <c r="I121" s="9" t="str">
        <f aca="false">IF(SAIDA!F121="",SAIDA!B121,SAIDA!F121)</f>
        <v/>
      </c>
      <c r="J121" s="10" t="str">
        <f aca="false">IF(SAIDA!F121="",SAIDA!C121,SAIDA!J121)</f>
        <v/>
      </c>
      <c r="K121" s="11" t="str">
        <f aca="false">IF(SAIDA!F121="",SAIDA!D121,SAIDA!K121)</f>
        <v/>
      </c>
      <c r="L121" s="12" t="str">
        <f aca="false">IF(SAIDA!F121="",SAIDA!E121,SAIDA!L121)</f>
        <v/>
      </c>
      <c r="N121" s="7"/>
      <c r="P121" s="7"/>
    </row>
    <row r="122" customFormat="false" ht="13.5" hidden="false" customHeight="true" outlineLevel="0" collapsed="false">
      <c r="A122" s="8" t="n">
        <f aca="false">PRODUTOS!A122</f>
        <v>0</v>
      </c>
      <c r="B122" s="8" t="n">
        <f aca="false">PRODUTOS!B122</f>
        <v>0</v>
      </c>
      <c r="C122" s="7"/>
      <c r="D122" s="7"/>
      <c r="E122" s="7"/>
      <c r="F122" s="7"/>
      <c r="G122" s="8" t="n">
        <f aca="false">PRODUTOS!C122</f>
        <v>0</v>
      </c>
      <c r="H122" s="8" t="n">
        <f aca="false">PRODUTOS!D122</f>
        <v>0</v>
      </c>
      <c r="I122" s="9" t="str">
        <f aca="false">IF(SAIDA!F122="",SAIDA!B122,SAIDA!F122)</f>
        <v/>
      </c>
      <c r="J122" s="10" t="str">
        <f aca="false">IF(SAIDA!F122="",SAIDA!C122,SAIDA!J122)</f>
        <v/>
      </c>
      <c r="K122" s="11" t="str">
        <f aca="false">IF(SAIDA!F122="",SAIDA!D122,SAIDA!K122)</f>
        <v/>
      </c>
      <c r="L122" s="12" t="str">
        <f aca="false">IF(SAIDA!F122="",SAIDA!E122,SAIDA!L122)</f>
        <v/>
      </c>
      <c r="N122" s="7"/>
      <c r="P122" s="7"/>
    </row>
    <row r="123" customFormat="false" ht="13.5" hidden="false" customHeight="true" outlineLevel="0" collapsed="false">
      <c r="A123" s="8" t="n">
        <f aca="false">PRODUTOS!A123</f>
        <v>0</v>
      </c>
      <c r="B123" s="8" t="n">
        <f aca="false">PRODUTOS!B123</f>
        <v>0</v>
      </c>
      <c r="C123" s="7"/>
      <c r="D123" s="7"/>
      <c r="E123" s="7"/>
      <c r="F123" s="7"/>
      <c r="G123" s="8" t="n">
        <f aca="false">PRODUTOS!C123</f>
        <v>0</v>
      </c>
      <c r="H123" s="8" t="n">
        <f aca="false">PRODUTOS!D123</f>
        <v>0</v>
      </c>
      <c r="I123" s="9" t="str">
        <f aca="false">IF(SAIDA!F123="",SAIDA!B123,SAIDA!F123)</f>
        <v/>
      </c>
      <c r="J123" s="10" t="str">
        <f aca="false">IF(SAIDA!F123="",SAIDA!C123,SAIDA!J123)</f>
        <v/>
      </c>
      <c r="K123" s="11" t="str">
        <f aca="false">IF(SAIDA!F123="",SAIDA!D123,SAIDA!K123)</f>
        <v/>
      </c>
      <c r="L123" s="12" t="str">
        <f aca="false">IF(SAIDA!F123="",SAIDA!E123,SAIDA!L123)</f>
        <v/>
      </c>
      <c r="N123" s="7"/>
      <c r="P123" s="7"/>
    </row>
    <row r="124" customFormat="false" ht="13.5" hidden="false" customHeight="true" outlineLevel="0" collapsed="false">
      <c r="A124" s="8" t="n">
        <f aca="false">PRODUTOS!A124</f>
        <v>0</v>
      </c>
      <c r="B124" s="8" t="n">
        <f aca="false">PRODUTOS!B124</f>
        <v>0</v>
      </c>
      <c r="C124" s="7"/>
      <c r="D124" s="7"/>
      <c r="E124" s="7"/>
      <c r="F124" s="7"/>
      <c r="G124" s="8" t="n">
        <f aca="false">PRODUTOS!C124</f>
        <v>0</v>
      </c>
      <c r="H124" s="8" t="n">
        <f aca="false">PRODUTOS!D124</f>
        <v>0</v>
      </c>
      <c r="I124" s="9" t="str">
        <f aca="false">IF(SAIDA!F124="",SAIDA!B124,SAIDA!F124)</f>
        <v/>
      </c>
      <c r="J124" s="10" t="str">
        <f aca="false">IF(SAIDA!F124="",SAIDA!C124,SAIDA!J124)</f>
        <v/>
      </c>
      <c r="K124" s="11" t="str">
        <f aca="false">IF(SAIDA!F124="",SAIDA!D124,SAIDA!K124)</f>
        <v/>
      </c>
      <c r="L124" s="12" t="str">
        <f aca="false">IF(SAIDA!F124="",SAIDA!E124,SAIDA!L124)</f>
        <v/>
      </c>
      <c r="N124" s="7"/>
      <c r="P124" s="7"/>
    </row>
    <row r="125" customFormat="false" ht="13.5" hidden="false" customHeight="true" outlineLevel="0" collapsed="false">
      <c r="A125" s="8" t="n">
        <f aca="false">PRODUTOS!A125</f>
        <v>0</v>
      </c>
      <c r="B125" s="8" t="n">
        <f aca="false">PRODUTOS!B125</f>
        <v>0</v>
      </c>
      <c r="C125" s="7"/>
      <c r="D125" s="7"/>
      <c r="E125" s="7"/>
      <c r="F125" s="7"/>
      <c r="G125" s="8" t="n">
        <f aca="false">PRODUTOS!C125</f>
        <v>0</v>
      </c>
      <c r="H125" s="8" t="n">
        <f aca="false">PRODUTOS!D125</f>
        <v>0</v>
      </c>
      <c r="I125" s="9" t="str">
        <f aca="false">IF(SAIDA!F125="",SAIDA!B125,SAIDA!F125)</f>
        <v/>
      </c>
      <c r="J125" s="10" t="str">
        <f aca="false">IF(SAIDA!F125="",SAIDA!C125,SAIDA!J125)</f>
        <v/>
      </c>
      <c r="K125" s="11" t="str">
        <f aca="false">IF(SAIDA!F125="",SAIDA!D125,SAIDA!K125)</f>
        <v/>
      </c>
      <c r="L125" s="12" t="str">
        <f aca="false">IF(SAIDA!F125="",SAIDA!E125,SAIDA!L125)</f>
        <v/>
      </c>
      <c r="N125" s="7"/>
      <c r="P125" s="7"/>
    </row>
    <row r="126" customFormat="false" ht="13.5" hidden="false" customHeight="true" outlineLevel="0" collapsed="false">
      <c r="A126" s="8" t="n">
        <f aca="false">PRODUTOS!A126</f>
        <v>0</v>
      </c>
      <c r="B126" s="8" t="n">
        <f aca="false">PRODUTOS!B126</f>
        <v>0</v>
      </c>
      <c r="C126" s="7"/>
      <c r="D126" s="7"/>
      <c r="E126" s="7"/>
      <c r="F126" s="7"/>
      <c r="G126" s="8" t="n">
        <f aca="false">PRODUTOS!C126</f>
        <v>0</v>
      </c>
      <c r="H126" s="8" t="n">
        <f aca="false">PRODUTOS!D126</f>
        <v>0</v>
      </c>
      <c r="I126" s="9" t="str">
        <f aca="false">IF(SAIDA!F126="",SAIDA!B126,SAIDA!F126)</f>
        <v/>
      </c>
      <c r="J126" s="10" t="str">
        <f aca="false">IF(SAIDA!F126="",SAIDA!C126,SAIDA!J126)</f>
        <v/>
      </c>
      <c r="K126" s="11" t="str">
        <f aca="false">IF(SAIDA!F126="",SAIDA!D126,SAIDA!K126)</f>
        <v/>
      </c>
      <c r="L126" s="12" t="str">
        <f aca="false">IF(SAIDA!F126="",SAIDA!E126,SAIDA!L126)</f>
        <v/>
      </c>
      <c r="N126" s="7"/>
      <c r="P126" s="7"/>
    </row>
    <row r="127" customFormat="false" ht="13.5" hidden="false" customHeight="true" outlineLevel="0" collapsed="false">
      <c r="A127" s="8" t="n">
        <f aca="false">PRODUTOS!A127</f>
        <v>0</v>
      </c>
      <c r="B127" s="8" t="n">
        <f aca="false">PRODUTOS!B127</f>
        <v>0</v>
      </c>
      <c r="C127" s="7"/>
      <c r="D127" s="7"/>
      <c r="E127" s="7"/>
      <c r="F127" s="7"/>
      <c r="G127" s="8" t="n">
        <f aca="false">PRODUTOS!C127</f>
        <v>0</v>
      </c>
      <c r="H127" s="8" t="n">
        <f aca="false">PRODUTOS!D127</f>
        <v>0</v>
      </c>
      <c r="I127" s="9" t="str">
        <f aca="false">IF(SAIDA!F127="",SAIDA!B127,SAIDA!F127)</f>
        <v/>
      </c>
      <c r="J127" s="10" t="str">
        <f aca="false">IF(SAIDA!F127="",SAIDA!C127,SAIDA!J127)</f>
        <v/>
      </c>
      <c r="K127" s="11" t="str">
        <f aca="false">IF(SAIDA!F127="",SAIDA!D127,SAIDA!K127)</f>
        <v/>
      </c>
      <c r="L127" s="12" t="str">
        <f aca="false">IF(SAIDA!F127="",SAIDA!E127,SAIDA!L127)</f>
        <v/>
      </c>
      <c r="N127" s="7"/>
      <c r="P127" s="7"/>
    </row>
    <row r="128" customFormat="false" ht="13.5" hidden="false" customHeight="true" outlineLevel="0" collapsed="false">
      <c r="A128" s="8" t="n">
        <f aca="false">PRODUTOS!A128</f>
        <v>0</v>
      </c>
      <c r="B128" s="8" t="n">
        <f aca="false">PRODUTOS!B128</f>
        <v>0</v>
      </c>
      <c r="C128" s="7"/>
      <c r="D128" s="7"/>
      <c r="E128" s="7"/>
      <c r="F128" s="7"/>
      <c r="G128" s="8" t="n">
        <f aca="false">PRODUTOS!C128</f>
        <v>0</v>
      </c>
      <c r="H128" s="8" t="n">
        <f aca="false">PRODUTOS!D128</f>
        <v>0</v>
      </c>
      <c r="I128" s="9" t="str">
        <f aca="false">IF(SAIDA!F128="",SAIDA!B128,SAIDA!F128)</f>
        <v/>
      </c>
      <c r="J128" s="10" t="str">
        <f aca="false">IF(SAIDA!F128="",SAIDA!C128,SAIDA!J128)</f>
        <v/>
      </c>
      <c r="K128" s="11" t="str">
        <f aca="false">IF(SAIDA!F128="",SAIDA!D128,SAIDA!K128)</f>
        <v/>
      </c>
      <c r="L128" s="12" t="str">
        <f aca="false">IF(SAIDA!F128="",SAIDA!E128,SAIDA!L128)</f>
        <v/>
      </c>
      <c r="N128" s="7"/>
      <c r="P128" s="7"/>
    </row>
    <row r="129" customFormat="false" ht="13.5" hidden="false" customHeight="true" outlineLevel="0" collapsed="false">
      <c r="A129" s="8" t="n">
        <f aca="false">PRODUTOS!A129</f>
        <v>0</v>
      </c>
      <c r="B129" s="8" t="n">
        <f aca="false">PRODUTOS!B129</f>
        <v>0</v>
      </c>
      <c r="C129" s="7"/>
      <c r="D129" s="7"/>
      <c r="E129" s="7"/>
      <c r="F129" s="7"/>
      <c r="G129" s="8" t="n">
        <f aca="false">PRODUTOS!C129</f>
        <v>0</v>
      </c>
      <c r="H129" s="8" t="n">
        <f aca="false">PRODUTOS!D129</f>
        <v>0</v>
      </c>
      <c r="I129" s="9" t="str">
        <f aca="false">IF(SAIDA!F129="",SAIDA!B129,SAIDA!F129)</f>
        <v/>
      </c>
      <c r="J129" s="10" t="str">
        <f aca="false">IF(SAIDA!F129="",SAIDA!C129,SAIDA!J129)</f>
        <v/>
      </c>
      <c r="K129" s="11" t="str">
        <f aca="false">IF(SAIDA!F129="",SAIDA!D129,SAIDA!K129)</f>
        <v/>
      </c>
      <c r="L129" s="12" t="str">
        <f aca="false">IF(SAIDA!F129="",SAIDA!E129,SAIDA!L129)</f>
        <v/>
      </c>
      <c r="N129" s="7"/>
      <c r="P129" s="7"/>
    </row>
    <row r="130" customFormat="false" ht="13.5" hidden="false" customHeight="true" outlineLevel="0" collapsed="false">
      <c r="A130" s="8" t="n">
        <f aca="false">PRODUTOS!A130</f>
        <v>0</v>
      </c>
      <c r="B130" s="8" t="n">
        <f aca="false">PRODUTOS!B130</f>
        <v>0</v>
      </c>
      <c r="C130" s="7"/>
      <c r="D130" s="7"/>
      <c r="E130" s="7"/>
      <c r="F130" s="7"/>
      <c r="G130" s="8" t="n">
        <f aca="false">PRODUTOS!C130</f>
        <v>0</v>
      </c>
      <c r="H130" s="8" t="n">
        <f aca="false">PRODUTOS!D130</f>
        <v>0</v>
      </c>
      <c r="I130" s="9" t="str">
        <f aca="false">IF(SAIDA!F130="",SAIDA!B130,SAIDA!F130)</f>
        <v/>
      </c>
      <c r="J130" s="10" t="str">
        <f aca="false">IF(SAIDA!F130="",SAIDA!C130,SAIDA!J130)</f>
        <v/>
      </c>
      <c r="K130" s="11" t="str">
        <f aca="false">IF(SAIDA!F130="",SAIDA!D130,SAIDA!K130)</f>
        <v/>
      </c>
      <c r="L130" s="12" t="str">
        <f aca="false">IF(SAIDA!F130="",SAIDA!E130,SAIDA!L130)</f>
        <v/>
      </c>
      <c r="N130" s="7"/>
      <c r="P130" s="7"/>
    </row>
    <row r="131" customFormat="false" ht="13.5" hidden="false" customHeight="true" outlineLevel="0" collapsed="false">
      <c r="A131" s="8" t="n">
        <f aca="false">PRODUTOS!A131</f>
        <v>0</v>
      </c>
      <c r="B131" s="8" t="n">
        <f aca="false">PRODUTOS!B131</f>
        <v>0</v>
      </c>
      <c r="C131" s="7"/>
      <c r="D131" s="7"/>
      <c r="E131" s="7"/>
      <c r="F131" s="7"/>
      <c r="G131" s="8" t="n">
        <f aca="false">PRODUTOS!C131</f>
        <v>0</v>
      </c>
      <c r="H131" s="8" t="n">
        <f aca="false">PRODUTOS!D131</f>
        <v>0</v>
      </c>
      <c r="I131" s="9" t="str">
        <f aca="false">IF(SAIDA!F131="",SAIDA!B131,SAIDA!F131)</f>
        <v/>
      </c>
      <c r="J131" s="10" t="str">
        <f aca="false">IF(SAIDA!F131="",SAIDA!C131,SAIDA!J131)</f>
        <v/>
      </c>
      <c r="K131" s="11" t="str">
        <f aca="false">IF(SAIDA!F131="",SAIDA!D131,SAIDA!K131)</f>
        <v/>
      </c>
      <c r="L131" s="12" t="str">
        <f aca="false">IF(SAIDA!F131="",SAIDA!E131,SAIDA!L131)</f>
        <v/>
      </c>
      <c r="N131" s="7"/>
      <c r="P131" s="7"/>
    </row>
    <row r="132" customFormat="false" ht="13.5" hidden="false" customHeight="true" outlineLevel="0" collapsed="false">
      <c r="A132" s="8" t="n">
        <f aca="false">PRODUTOS!A132</f>
        <v>0</v>
      </c>
      <c r="B132" s="8" t="n">
        <f aca="false">PRODUTOS!B132</f>
        <v>0</v>
      </c>
      <c r="C132" s="7"/>
      <c r="D132" s="7"/>
      <c r="E132" s="7"/>
      <c r="F132" s="7"/>
      <c r="G132" s="8" t="n">
        <f aca="false">PRODUTOS!C132</f>
        <v>0</v>
      </c>
      <c r="H132" s="8" t="n">
        <f aca="false">PRODUTOS!D132</f>
        <v>0</v>
      </c>
      <c r="I132" s="9" t="str">
        <f aca="false">IF(SAIDA!F132="",SAIDA!B132,SAIDA!F132)</f>
        <v/>
      </c>
      <c r="J132" s="10" t="str">
        <f aca="false">IF(SAIDA!F132="",SAIDA!C132,SAIDA!J132)</f>
        <v/>
      </c>
      <c r="K132" s="11" t="str">
        <f aca="false">IF(SAIDA!F132="",SAIDA!D132,SAIDA!K132)</f>
        <v/>
      </c>
      <c r="L132" s="12" t="str">
        <f aca="false">IF(SAIDA!F132="",SAIDA!E132,SAIDA!L132)</f>
        <v/>
      </c>
      <c r="N132" s="7"/>
      <c r="P132" s="7"/>
    </row>
    <row r="133" customFormat="false" ht="13.5" hidden="false" customHeight="true" outlineLevel="0" collapsed="false">
      <c r="A133" s="8" t="n">
        <f aca="false">PRODUTOS!A133</f>
        <v>0</v>
      </c>
      <c r="B133" s="8" t="n">
        <f aca="false">PRODUTOS!B133</f>
        <v>0</v>
      </c>
      <c r="C133" s="7"/>
      <c r="D133" s="7"/>
      <c r="E133" s="7"/>
      <c r="F133" s="7"/>
      <c r="G133" s="8" t="n">
        <f aca="false">PRODUTOS!C133</f>
        <v>0</v>
      </c>
      <c r="H133" s="8" t="n">
        <f aca="false">PRODUTOS!D133</f>
        <v>0</v>
      </c>
      <c r="I133" s="9" t="str">
        <f aca="false">IF(SAIDA!F133="",SAIDA!B133,SAIDA!F133)</f>
        <v/>
      </c>
      <c r="J133" s="10" t="str">
        <f aca="false">IF(SAIDA!F133="",SAIDA!C133,SAIDA!J133)</f>
        <v/>
      </c>
      <c r="K133" s="11" t="str">
        <f aca="false">IF(SAIDA!F133="",SAIDA!D133,SAIDA!K133)</f>
        <v/>
      </c>
      <c r="L133" s="12" t="str">
        <f aca="false">IF(SAIDA!F133="",SAIDA!E133,SAIDA!L133)</f>
        <v/>
      </c>
      <c r="N133" s="7"/>
      <c r="P133" s="7"/>
    </row>
    <row r="134" customFormat="false" ht="13.5" hidden="false" customHeight="true" outlineLevel="0" collapsed="false">
      <c r="A134" s="8" t="n">
        <f aca="false">PRODUTOS!A134</f>
        <v>0</v>
      </c>
      <c r="B134" s="8" t="n">
        <f aca="false">PRODUTOS!B134</f>
        <v>0</v>
      </c>
      <c r="C134" s="7"/>
      <c r="D134" s="7"/>
      <c r="E134" s="7"/>
      <c r="F134" s="7"/>
      <c r="G134" s="8" t="n">
        <f aca="false">PRODUTOS!C134</f>
        <v>0</v>
      </c>
      <c r="H134" s="8" t="n">
        <f aca="false">PRODUTOS!D134</f>
        <v>0</v>
      </c>
      <c r="I134" s="9" t="str">
        <f aca="false">IF(SAIDA!F134="",SAIDA!B134,SAIDA!F134)</f>
        <v/>
      </c>
      <c r="J134" s="10" t="str">
        <f aca="false">IF(SAIDA!F134="",SAIDA!C134,SAIDA!J134)</f>
        <v/>
      </c>
      <c r="K134" s="11" t="str">
        <f aca="false">IF(SAIDA!F134="",SAIDA!D134,SAIDA!K134)</f>
        <v/>
      </c>
      <c r="L134" s="12" t="str">
        <f aca="false">IF(SAIDA!F134="",SAIDA!E134,SAIDA!L134)</f>
        <v/>
      </c>
      <c r="N134" s="7"/>
      <c r="P134" s="7"/>
    </row>
    <row r="135" customFormat="false" ht="13.5" hidden="false" customHeight="true" outlineLevel="0" collapsed="false">
      <c r="A135" s="8" t="n">
        <f aca="false">PRODUTOS!A135</f>
        <v>0</v>
      </c>
      <c r="B135" s="8" t="n">
        <f aca="false">PRODUTOS!B135</f>
        <v>0</v>
      </c>
      <c r="C135" s="7"/>
      <c r="D135" s="7"/>
      <c r="E135" s="7"/>
      <c r="F135" s="7"/>
      <c r="G135" s="8" t="n">
        <f aca="false">PRODUTOS!C135</f>
        <v>0</v>
      </c>
      <c r="H135" s="8" t="n">
        <f aca="false">PRODUTOS!D135</f>
        <v>0</v>
      </c>
      <c r="I135" s="9" t="str">
        <f aca="false">IF(SAIDA!F135="",SAIDA!B135,SAIDA!F135)</f>
        <v/>
      </c>
      <c r="J135" s="10" t="str">
        <f aca="false">IF(SAIDA!F135="",SAIDA!C135,SAIDA!J135)</f>
        <v/>
      </c>
      <c r="K135" s="11" t="str">
        <f aca="false">IF(SAIDA!F135="",SAIDA!D135,SAIDA!K135)</f>
        <v/>
      </c>
      <c r="L135" s="12" t="str">
        <f aca="false">IF(SAIDA!F135="",SAIDA!E135,SAIDA!L135)</f>
        <v/>
      </c>
      <c r="N135" s="7"/>
      <c r="P135" s="7"/>
    </row>
    <row r="136" customFormat="false" ht="13.5" hidden="false" customHeight="true" outlineLevel="0" collapsed="false">
      <c r="A136" s="8" t="n">
        <f aca="false">PRODUTOS!A136</f>
        <v>0</v>
      </c>
      <c r="B136" s="8" t="n">
        <f aca="false">PRODUTOS!B136</f>
        <v>0</v>
      </c>
      <c r="C136" s="7"/>
      <c r="D136" s="7"/>
      <c r="E136" s="7"/>
      <c r="F136" s="7"/>
      <c r="G136" s="8" t="n">
        <f aca="false">PRODUTOS!C136</f>
        <v>0</v>
      </c>
      <c r="H136" s="8" t="n">
        <f aca="false">PRODUTOS!D136</f>
        <v>0</v>
      </c>
      <c r="I136" s="9" t="str">
        <f aca="false">IF(SAIDA!F136="",SAIDA!B136,SAIDA!F136)</f>
        <v/>
      </c>
      <c r="J136" s="10" t="str">
        <f aca="false">IF(SAIDA!F136="",SAIDA!C136,SAIDA!J136)</f>
        <v/>
      </c>
      <c r="K136" s="11" t="str">
        <f aca="false">IF(SAIDA!F136="",SAIDA!D136,SAIDA!K136)</f>
        <v/>
      </c>
      <c r="L136" s="12" t="str">
        <f aca="false">IF(SAIDA!F136="",SAIDA!E136,SAIDA!L136)</f>
        <v/>
      </c>
      <c r="N136" s="7"/>
      <c r="P136" s="7"/>
    </row>
    <row r="137" customFormat="false" ht="13.5" hidden="false" customHeight="true" outlineLevel="0" collapsed="false">
      <c r="A137" s="8" t="n">
        <f aca="false">PRODUTOS!A137</f>
        <v>0</v>
      </c>
      <c r="B137" s="8" t="n">
        <f aca="false">PRODUTOS!B137</f>
        <v>0</v>
      </c>
      <c r="C137" s="7"/>
      <c r="D137" s="7"/>
      <c r="E137" s="7"/>
      <c r="F137" s="7"/>
      <c r="G137" s="8" t="n">
        <f aca="false">PRODUTOS!C137</f>
        <v>0</v>
      </c>
      <c r="H137" s="8" t="n">
        <f aca="false">PRODUTOS!D137</f>
        <v>0</v>
      </c>
      <c r="I137" s="9" t="str">
        <f aca="false">IF(SAIDA!F137="",SAIDA!B137,SAIDA!F137)</f>
        <v/>
      </c>
      <c r="J137" s="10" t="str">
        <f aca="false">IF(SAIDA!F137="",SAIDA!C137,SAIDA!J137)</f>
        <v/>
      </c>
      <c r="K137" s="11" t="str">
        <f aca="false">IF(SAIDA!F137="",SAIDA!D137,SAIDA!K137)</f>
        <v/>
      </c>
      <c r="L137" s="12" t="str">
        <f aca="false">IF(SAIDA!F137="",SAIDA!E137,SAIDA!L137)</f>
        <v/>
      </c>
      <c r="N137" s="7"/>
      <c r="P137" s="7"/>
    </row>
    <row r="138" customFormat="false" ht="13.5" hidden="false" customHeight="true" outlineLevel="0" collapsed="false">
      <c r="A138" s="8" t="n">
        <f aca="false">PRODUTOS!A138</f>
        <v>0</v>
      </c>
      <c r="B138" s="8" t="n">
        <f aca="false">PRODUTOS!B138</f>
        <v>0</v>
      </c>
      <c r="C138" s="7"/>
      <c r="D138" s="7"/>
      <c r="E138" s="7"/>
      <c r="F138" s="7"/>
      <c r="G138" s="8" t="n">
        <f aca="false">PRODUTOS!C138</f>
        <v>0</v>
      </c>
      <c r="H138" s="8" t="n">
        <f aca="false">PRODUTOS!D138</f>
        <v>0</v>
      </c>
      <c r="I138" s="9" t="str">
        <f aca="false">IF(SAIDA!F138="",SAIDA!B138,SAIDA!F138)</f>
        <v/>
      </c>
      <c r="J138" s="10" t="str">
        <f aca="false">IF(SAIDA!F138="",SAIDA!C138,SAIDA!J138)</f>
        <v/>
      </c>
      <c r="K138" s="11" t="str">
        <f aca="false">IF(SAIDA!F138="",SAIDA!D138,SAIDA!K138)</f>
        <v/>
      </c>
      <c r="L138" s="12" t="str">
        <f aca="false">IF(SAIDA!F138="",SAIDA!E138,SAIDA!L138)</f>
        <v/>
      </c>
      <c r="N138" s="7"/>
      <c r="P138" s="7"/>
    </row>
    <row r="139" customFormat="false" ht="13.5" hidden="false" customHeight="true" outlineLevel="0" collapsed="false">
      <c r="A139" s="8" t="n">
        <f aca="false">PRODUTOS!A139</f>
        <v>0</v>
      </c>
      <c r="B139" s="8" t="n">
        <f aca="false">PRODUTOS!B139</f>
        <v>0</v>
      </c>
      <c r="C139" s="7"/>
      <c r="D139" s="7"/>
      <c r="E139" s="7"/>
      <c r="F139" s="7"/>
      <c r="G139" s="8" t="n">
        <f aca="false">PRODUTOS!C139</f>
        <v>0</v>
      </c>
      <c r="H139" s="8" t="n">
        <f aca="false">PRODUTOS!D139</f>
        <v>0</v>
      </c>
      <c r="I139" s="9" t="str">
        <f aca="false">IF(SAIDA!F139="",SAIDA!B139,SAIDA!F139)</f>
        <v/>
      </c>
      <c r="J139" s="10" t="str">
        <f aca="false">IF(SAIDA!F139="",SAIDA!C139,SAIDA!J139)</f>
        <v/>
      </c>
      <c r="K139" s="11" t="str">
        <f aca="false">IF(SAIDA!F139="",SAIDA!D139,SAIDA!K139)</f>
        <v/>
      </c>
      <c r="L139" s="12" t="str">
        <f aca="false">IF(SAIDA!F139="",SAIDA!E139,SAIDA!L139)</f>
        <v/>
      </c>
      <c r="N139" s="7"/>
      <c r="P139" s="7"/>
    </row>
    <row r="140" customFormat="false" ht="13.5" hidden="false" customHeight="true" outlineLevel="0" collapsed="false">
      <c r="A140" s="8" t="n">
        <f aca="false">PRODUTOS!A140</f>
        <v>0</v>
      </c>
      <c r="B140" s="8" t="n">
        <f aca="false">PRODUTOS!B140</f>
        <v>0</v>
      </c>
      <c r="C140" s="7"/>
      <c r="D140" s="7"/>
      <c r="E140" s="7"/>
      <c r="F140" s="7"/>
      <c r="G140" s="8" t="n">
        <f aca="false">PRODUTOS!C140</f>
        <v>0</v>
      </c>
      <c r="H140" s="8" t="n">
        <f aca="false">PRODUTOS!D140</f>
        <v>0</v>
      </c>
      <c r="I140" s="9" t="str">
        <f aca="false">IF(SAIDA!F140="",SAIDA!B140,SAIDA!F140)</f>
        <v/>
      </c>
      <c r="J140" s="10" t="str">
        <f aca="false">IF(SAIDA!F140="",SAIDA!C140,SAIDA!J140)</f>
        <v/>
      </c>
      <c r="K140" s="11" t="str">
        <f aca="false">IF(SAIDA!F140="",SAIDA!D140,SAIDA!K140)</f>
        <v/>
      </c>
      <c r="L140" s="12" t="str">
        <f aca="false">IF(SAIDA!F140="",SAIDA!E140,SAIDA!L140)</f>
        <v/>
      </c>
      <c r="N140" s="7"/>
      <c r="P140" s="7"/>
    </row>
    <row r="141" customFormat="false" ht="13.5" hidden="false" customHeight="true" outlineLevel="0" collapsed="false">
      <c r="A141" s="8" t="n">
        <f aca="false">PRODUTOS!A141</f>
        <v>0</v>
      </c>
      <c r="B141" s="8" t="n">
        <f aca="false">PRODUTOS!B141</f>
        <v>0</v>
      </c>
      <c r="C141" s="7"/>
      <c r="D141" s="7"/>
      <c r="E141" s="7"/>
      <c r="F141" s="7"/>
      <c r="G141" s="8" t="n">
        <f aca="false">PRODUTOS!C141</f>
        <v>0</v>
      </c>
      <c r="H141" s="8" t="n">
        <f aca="false">PRODUTOS!D141</f>
        <v>0</v>
      </c>
      <c r="I141" s="9" t="str">
        <f aca="false">IF(SAIDA!F141="",SAIDA!B141,SAIDA!F141)</f>
        <v/>
      </c>
      <c r="J141" s="10" t="str">
        <f aca="false">IF(SAIDA!F141="",SAIDA!C141,SAIDA!J141)</f>
        <v/>
      </c>
      <c r="K141" s="11" t="str">
        <f aca="false">IF(SAIDA!F141="",SAIDA!D141,SAIDA!K141)</f>
        <v/>
      </c>
      <c r="L141" s="12" t="str">
        <f aca="false">IF(SAIDA!F141="",SAIDA!E141,SAIDA!L141)</f>
        <v/>
      </c>
      <c r="N141" s="7"/>
      <c r="P141" s="7"/>
    </row>
    <row r="142" customFormat="false" ht="13.5" hidden="false" customHeight="true" outlineLevel="0" collapsed="false">
      <c r="A142" s="8" t="n">
        <f aca="false">PRODUTOS!A142</f>
        <v>0</v>
      </c>
      <c r="B142" s="8" t="n">
        <f aca="false">PRODUTOS!B142</f>
        <v>0</v>
      </c>
      <c r="C142" s="7"/>
      <c r="D142" s="7"/>
      <c r="E142" s="7"/>
      <c r="F142" s="7"/>
      <c r="G142" s="8" t="n">
        <f aca="false">PRODUTOS!C142</f>
        <v>0</v>
      </c>
      <c r="H142" s="8" t="n">
        <f aca="false">PRODUTOS!D142</f>
        <v>0</v>
      </c>
      <c r="I142" s="9" t="str">
        <f aca="false">IF(SAIDA!F142="",SAIDA!B142,SAIDA!F142)</f>
        <v/>
      </c>
      <c r="J142" s="10" t="str">
        <f aca="false">IF(SAIDA!F142="",SAIDA!C142,SAIDA!J142)</f>
        <v/>
      </c>
      <c r="K142" s="11" t="str">
        <f aca="false">IF(SAIDA!F142="",SAIDA!D142,SAIDA!K142)</f>
        <v/>
      </c>
      <c r="L142" s="12" t="str">
        <f aca="false">IF(SAIDA!F142="",SAIDA!E142,SAIDA!L142)</f>
        <v/>
      </c>
      <c r="N142" s="7"/>
      <c r="P142" s="7"/>
    </row>
    <row r="143" customFormat="false" ht="13.5" hidden="false" customHeight="true" outlineLevel="0" collapsed="false">
      <c r="A143" s="8" t="n">
        <f aca="false">PRODUTOS!A143</f>
        <v>0</v>
      </c>
      <c r="B143" s="8" t="n">
        <f aca="false">PRODUTOS!B143</f>
        <v>0</v>
      </c>
      <c r="C143" s="7"/>
      <c r="D143" s="7"/>
      <c r="E143" s="7"/>
      <c r="F143" s="7"/>
      <c r="G143" s="8" t="n">
        <f aca="false">PRODUTOS!C143</f>
        <v>0</v>
      </c>
      <c r="H143" s="8" t="n">
        <f aca="false">PRODUTOS!D143</f>
        <v>0</v>
      </c>
      <c r="I143" s="9" t="str">
        <f aca="false">IF(SAIDA!F143="",SAIDA!B143,SAIDA!F143)</f>
        <v/>
      </c>
      <c r="J143" s="10" t="str">
        <f aca="false">IF(SAIDA!F143="",SAIDA!C143,SAIDA!J143)</f>
        <v/>
      </c>
      <c r="K143" s="11" t="str">
        <f aca="false">IF(SAIDA!F143="",SAIDA!D143,SAIDA!K143)</f>
        <v/>
      </c>
      <c r="L143" s="12" t="str">
        <f aca="false">IF(SAIDA!F143="",SAIDA!E143,SAIDA!L143)</f>
        <v/>
      </c>
      <c r="N143" s="7"/>
      <c r="P143" s="7"/>
    </row>
    <row r="144" customFormat="false" ht="13.5" hidden="false" customHeight="true" outlineLevel="0" collapsed="false">
      <c r="A144" s="8" t="n">
        <f aca="false">PRODUTOS!A144</f>
        <v>0</v>
      </c>
      <c r="B144" s="8" t="n">
        <f aca="false">PRODUTOS!B144</f>
        <v>0</v>
      </c>
      <c r="C144" s="7"/>
      <c r="D144" s="7"/>
      <c r="E144" s="7"/>
      <c r="F144" s="7"/>
      <c r="G144" s="8" t="n">
        <f aca="false">PRODUTOS!C144</f>
        <v>0</v>
      </c>
      <c r="H144" s="8" t="n">
        <f aca="false">PRODUTOS!D144</f>
        <v>0</v>
      </c>
      <c r="I144" s="9" t="str">
        <f aca="false">IF(SAIDA!F144="",SAIDA!B144,SAIDA!F144)</f>
        <v/>
      </c>
      <c r="J144" s="10" t="str">
        <f aca="false">IF(SAIDA!F144="",SAIDA!C144,SAIDA!J144)</f>
        <v/>
      </c>
      <c r="K144" s="11" t="str">
        <f aca="false">IF(SAIDA!F144="",SAIDA!D144,SAIDA!K144)</f>
        <v/>
      </c>
      <c r="L144" s="12" t="str">
        <f aca="false">IF(SAIDA!F144="",SAIDA!E144,SAIDA!L144)</f>
        <v/>
      </c>
      <c r="N144" s="7"/>
      <c r="P144" s="7"/>
    </row>
    <row r="145" customFormat="false" ht="13.5" hidden="false" customHeight="true" outlineLevel="0" collapsed="false">
      <c r="A145" s="8" t="n">
        <f aca="false">PRODUTOS!A145</f>
        <v>0</v>
      </c>
      <c r="B145" s="8" t="n">
        <f aca="false">PRODUTOS!B145</f>
        <v>0</v>
      </c>
      <c r="C145" s="7"/>
      <c r="D145" s="7"/>
      <c r="E145" s="7"/>
      <c r="F145" s="7"/>
      <c r="G145" s="8" t="n">
        <f aca="false">PRODUTOS!C145</f>
        <v>0</v>
      </c>
      <c r="H145" s="8" t="n">
        <f aca="false">PRODUTOS!D145</f>
        <v>0</v>
      </c>
      <c r="I145" s="9" t="str">
        <f aca="false">IF(SAIDA!F145="",SAIDA!B145,SAIDA!F145)</f>
        <v/>
      </c>
      <c r="J145" s="10" t="str">
        <f aca="false">IF(SAIDA!F145="",SAIDA!C145,SAIDA!J145)</f>
        <v/>
      </c>
      <c r="K145" s="11" t="str">
        <f aca="false">IF(SAIDA!F145="",SAIDA!D145,SAIDA!K145)</f>
        <v/>
      </c>
      <c r="L145" s="12" t="str">
        <f aca="false">IF(SAIDA!F145="",SAIDA!E145,SAIDA!L145)</f>
        <v/>
      </c>
      <c r="N145" s="7"/>
      <c r="P145" s="7"/>
    </row>
    <row r="146" customFormat="false" ht="13.5" hidden="false" customHeight="true" outlineLevel="0" collapsed="false">
      <c r="A146" s="8" t="n">
        <f aca="false">PRODUTOS!A146</f>
        <v>0</v>
      </c>
      <c r="B146" s="8" t="n">
        <f aca="false">PRODUTOS!B146</f>
        <v>0</v>
      </c>
      <c r="C146" s="7"/>
      <c r="D146" s="7"/>
      <c r="E146" s="7"/>
      <c r="F146" s="7"/>
      <c r="G146" s="8" t="n">
        <f aca="false">PRODUTOS!C146</f>
        <v>0</v>
      </c>
      <c r="H146" s="8" t="n">
        <f aca="false">PRODUTOS!D146</f>
        <v>0</v>
      </c>
      <c r="I146" s="9" t="str">
        <f aca="false">IF(SAIDA!F146="",SAIDA!B146,SAIDA!F146)</f>
        <v/>
      </c>
      <c r="J146" s="10" t="str">
        <f aca="false">IF(SAIDA!F146="",SAIDA!C146,SAIDA!J146)</f>
        <v/>
      </c>
      <c r="K146" s="11" t="str">
        <f aca="false">IF(SAIDA!F146="",SAIDA!D146,SAIDA!K146)</f>
        <v/>
      </c>
      <c r="L146" s="12" t="str">
        <f aca="false">IF(SAIDA!F146="",SAIDA!E146,SAIDA!L146)</f>
        <v/>
      </c>
      <c r="N146" s="7"/>
      <c r="P146" s="7"/>
    </row>
    <row r="147" customFormat="false" ht="13.5" hidden="false" customHeight="true" outlineLevel="0" collapsed="false">
      <c r="A147" s="8" t="n">
        <f aca="false">PRODUTOS!A147</f>
        <v>0</v>
      </c>
      <c r="B147" s="8" t="n">
        <f aca="false">PRODUTOS!B147</f>
        <v>0</v>
      </c>
      <c r="C147" s="7"/>
      <c r="D147" s="7"/>
      <c r="E147" s="7"/>
      <c r="F147" s="7"/>
      <c r="G147" s="8" t="n">
        <f aca="false">PRODUTOS!C147</f>
        <v>0</v>
      </c>
      <c r="H147" s="8" t="n">
        <f aca="false">PRODUTOS!D147</f>
        <v>0</v>
      </c>
      <c r="I147" s="9" t="str">
        <f aca="false">IF(SAIDA!F147="",SAIDA!B147,SAIDA!F147)</f>
        <v/>
      </c>
      <c r="J147" s="10" t="str">
        <f aca="false">IF(SAIDA!F147="",SAIDA!C147,SAIDA!J147)</f>
        <v/>
      </c>
      <c r="K147" s="11" t="str">
        <f aca="false">IF(SAIDA!F147="",SAIDA!D147,SAIDA!K147)</f>
        <v/>
      </c>
      <c r="L147" s="12" t="str">
        <f aca="false">IF(SAIDA!F147="",SAIDA!E147,SAIDA!L147)</f>
        <v/>
      </c>
      <c r="N147" s="7"/>
      <c r="P147" s="7"/>
    </row>
    <row r="148" customFormat="false" ht="13.5" hidden="false" customHeight="true" outlineLevel="0" collapsed="false">
      <c r="A148" s="8" t="n">
        <f aca="false">PRODUTOS!A148</f>
        <v>0</v>
      </c>
      <c r="B148" s="8" t="n">
        <f aca="false">PRODUTOS!B148</f>
        <v>0</v>
      </c>
      <c r="C148" s="7"/>
      <c r="D148" s="7"/>
      <c r="E148" s="7"/>
      <c r="F148" s="7"/>
      <c r="G148" s="8" t="n">
        <f aca="false">PRODUTOS!C148</f>
        <v>0</v>
      </c>
      <c r="H148" s="8" t="n">
        <f aca="false">PRODUTOS!D148</f>
        <v>0</v>
      </c>
      <c r="I148" s="9" t="str">
        <f aca="false">IF(SAIDA!F148="",SAIDA!B148,SAIDA!F148)</f>
        <v/>
      </c>
      <c r="J148" s="10" t="str">
        <f aca="false">IF(SAIDA!F148="",SAIDA!C148,SAIDA!J148)</f>
        <v/>
      </c>
      <c r="K148" s="11" t="str">
        <f aca="false">IF(SAIDA!F148="",SAIDA!D148,SAIDA!K148)</f>
        <v/>
      </c>
      <c r="L148" s="12" t="str">
        <f aca="false">IF(SAIDA!F148="",SAIDA!E148,SAIDA!L148)</f>
        <v/>
      </c>
      <c r="N148" s="7"/>
      <c r="P148" s="7"/>
    </row>
    <row r="149" customFormat="false" ht="13.5" hidden="false" customHeight="true" outlineLevel="0" collapsed="false">
      <c r="A149" s="8" t="n">
        <f aca="false">PRODUTOS!A149</f>
        <v>0</v>
      </c>
      <c r="B149" s="8" t="n">
        <f aca="false">PRODUTOS!B149</f>
        <v>0</v>
      </c>
      <c r="C149" s="7"/>
      <c r="D149" s="7"/>
      <c r="E149" s="7"/>
      <c r="F149" s="7"/>
      <c r="G149" s="8" t="n">
        <f aca="false">PRODUTOS!C149</f>
        <v>0</v>
      </c>
      <c r="H149" s="8" t="n">
        <f aca="false">PRODUTOS!D149</f>
        <v>0</v>
      </c>
      <c r="I149" s="9" t="str">
        <f aca="false">IF(SAIDA!F149="",SAIDA!B149,SAIDA!F149)</f>
        <v/>
      </c>
      <c r="J149" s="10" t="str">
        <f aca="false">IF(SAIDA!F149="",SAIDA!C149,SAIDA!J149)</f>
        <v/>
      </c>
      <c r="K149" s="11" t="str">
        <f aca="false">IF(SAIDA!F149="",SAIDA!D149,SAIDA!K149)</f>
        <v/>
      </c>
      <c r="L149" s="12" t="str">
        <f aca="false">IF(SAIDA!F149="",SAIDA!E149,SAIDA!L149)</f>
        <v/>
      </c>
      <c r="N149" s="7"/>
      <c r="P149" s="7"/>
    </row>
    <row r="150" customFormat="false" ht="13.5" hidden="false" customHeight="true" outlineLevel="0" collapsed="false">
      <c r="A150" s="8" t="n">
        <f aca="false">PRODUTOS!A150</f>
        <v>0</v>
      </c>
      <c r="B150" s="8" t="n">
        <f aca="false">PRODUTOS!B150</f>
        <v>0</v>
      </c>
      <c r="C150" s="7"/>
      <c r="D150" s="7"/>
      <c r="E150" s="7"/>
      <c r="F150" s="7"/>
      <c r="G150" s="8" t="n">
        <f aca="false">PRODUTOS!C150</f>
        <v>0</v>
      </c>
      <c r="H150" s="8" t="n">
        <f aca="false">PRODUTOS!D150</f>
        <v>0</v>
      </c>
      <c r="I150" s="9" t="str">
        <f aca="false">IF(SAIDA!F150="",SAIDA!B150,SAIDA!F150)</f>
        <v/>
      </c>
      <c r="J150" s="10" t="str">
        <f aca="false">IF(SAIDA!F150="",SAIDA!C150,SAIDA!J150)</f>
        <v/>
      </c>
      <c r="K150" s="11" t="str">
        <f aca="false">IF(SAIDA!F150="",SAIDA!D150,SAIDA!K150)</f>
        <v/>
      </c>
      <c r="L150" s="12" t="str">
        <f aca="false">IF(SAIDA!F150="",SAIDA!E150,SAIDA!L150)</f>
        <v/>
      </c>
      <c r="N150" s="7"/>
      <c r="P150" s="7"/>
    </row>
    <row r="151" customFormat="false" ht="13.5" hidden="false" customHeight="true" outlineLevel="0" collapsed="false">
      <c r="A151" s="8" t="n">
        <f aca="false">PRODUTOS!A151</f>
        <v>0</v>
      </c>
      <c r="B151" s="8" t="n">
        <f aca="false">PRODUTOS!B151</f>
        <v>0</v>
      </c>
      <c r="C151" s="7"/>
      <c r="D151" s="7"/>
      <c r="E151" s="7"/>
      <c r="F151" s="7"/>
      <c r="G151" s="8" t="n">
        <f aca="false">PRODUTOS!C151</f>
        <v>0</v>
      </c>
      <c r="H151" s="8" t="n">
        <f aca="false">PRODUTOS!D151</f>
        <v>0</v>
      </c>
      <c r="I151" s="9" t="str">
        <f aca="false">IF(SAIDA!F151="",SAIDA!B151,SAIDA!F151)</f>
        <v/>
      </c>
      <c r="J151" s="10" t="str">
        <f aca="false">IF(SAIDA!F151="",SAIDA!C151,SAIDA!J151)</f>
        <v/>
      </c>
      <c r="K151" s="11" t="str">
        <f aca="false">IF(SAIDA!F151="",SAIDA!D151,SAIDA!K151)</f>
        <v/>
      </c>
      <c r="L151" s="12" t="str">
        <f aca="false">IF(SAIDA!F151="",SAIDA!E151,SAIDA!L151)</f>
        <v/>
      </c>
      <c r="N151" s="7"/>
      <c r="P151" s="7"/>
    </row>
    <row r="152" customFormat="false" ht="13.5" hidden="false" customHeight="true" outlineLevel="0" collapsed="false">
      <c r="A152" s="8" t="n">
        <f aca="false">PRODUTOS!A152</f>
        <v>0</v>
      </c>
      <c r="B152" s="8" t="n">
        <f aca="false">PRODUTOS!B152</f>
        <v>0</v>
      </c>
      <c r="C152" s="7"/>
      <c r="D152" s="7"/>
      <c r="E152" s="7"/>
      <c r="F152" s="7"/>
      <c r="G152" s="8" t="n">
        <f aca="false">PRODUTOS!C152</f>
        <v>0</v>
      </c>
      <c r="H152" s="8" t="n">
        <f aca="false">PRODUTOS!D152</f>
        <v>0</v>
      </c>
      <c r="I152" s="9" t="str">
        <f aca="false">IF(SAIDA!F152="",SAIDA!B152,SAIDA!F152)</f>
        <v/>
      </c>
      <c r="J152" s="10" t="str">
        <f aca="false">IF(SAIDA!F152="",SAIDA!C152,SAIDA!J152)</f>
        <v/>
      </c>
      <c r="K152" s="11" t="str">
        <f aca="false">IF(SAIDA!F152="",SAIDA!D152,SAIDA!K152)</f>
        <v/>
      </c>
      <c r="L152" s="12" t="str">
        <f aca="false">IF(SAIDA!F152="",SAIDA!E152,SAIDA!L152)</f>
        <v/>
      </c>
      <c r="N152" s="7"/>
      <c r="P152" s="7"/>
    </row>
    <row r="153" customFormat="false" ht="13.5" hidden="false" customHeight="true" outlineLevel="0" collapsed="false">
      <c r="A153" s="8" t="n">
        <f aca="false">PRODUTOS!A153</f>
        <v>0</v>
      </c>
      <c r="B153" s="8" t="n">
        <f aca="false">PRODUTOS!B153</f>
        <v>0</v>
      </c>
      <c r="C153" s="7"/>
      <c r="D153" s="7"/>
      <c r="E153" s="7"/>
      <c r="F153" s="7"/>
      <c r="G153" s="8" t="n">
        <f aca="false">PRODUTOS!C153</f>
        <v>0</v>
      </c>
      <c r="H153" s="8" t="n">
        <f aca="false">PRODUTOS!D153</f>
        <v>0</v>
      </c>
      <c r="I153" s="9" t="str">
        <f aca="false">IF(SAIDA!F153="",SAIDA!B153,SAIDA!F153)</f>
        <v/>
      </c>
      <c r="J153" s="10" t="str">
        <f aca="false">IF(SAIDA!F153="",SAIDA!C153,SAIDA!J153)</f>
        <v/>
      </c>
      <c r="K153" s="11" t="str">
        <f aca="false">IF(SAIDA!F153="",SAIDA!D153,SAIDA!K153)</f>
        <v/>
      </c>
      <c r="L153" s="12" t="str">
        <f aca="false">IF(SAIDA!F153="",SAIDA!E153,SAIDA!L153)</f>
        <v/>
      </c>
      <c r="N153" s="7"/>
      <c r="P153" s="7"/>
    </row>
    <row r="154" customFormat="false" ht="13.5" hidden="false" customHeight="true" outlineLevel="0" collapsed="false">
      <c r="A154" s="8" t="n">
        <f aca="false">PRODUTOS!A154</f>
        <v>0</v>
      </c>
      <c r="B154" s="8" t="n">
        <f aca="false">PRODUTOS!B154</f>
        <v>0</v>
      </c>
      <c r="C154" s="7"/>
      <c r="D154" s="7"/>
      <c r="E154" s="7"/>
      <c r="F154" s="7"/>
      <c r="G154" s="8" t="n">
        <f aca="false">PRODUTOS!C154</f>
        <v>0</v>
      </c>
      <c r="H154" s="8" t="n">
        <f aca="false">PRODUTOS!D154</f>
        <v>0</v>
      </c>
      <c r="I154" s="9" t="str">
        <f aca="false">IF(SAIDA!F154="",SAIDA!B154,SAIDA!F154)</f>
        <v/>
      </c>
      <c r="J154" s="10" t="str">
        <f aca="false">IF(SAIDA!F154="",SAIDA!C154,SAIDA!J154)</f>
        <v/>
      </c>
      <c r="K154" s="11" t="str">
        <f aca="false">IF(SAIDA!F154="",SAIDA!D154,SAIDA!K154)</f>
        <v/>
      </c>
      <c r="L154" s="12" t="str">
        <f aca="false">IF(SAIDA!F154="",SAIDA!E154,SAIDA!L154)</f>
        <v/>
      </c>
      <c r="N154" s="7"/>
      <c r="P154" s="7"/>
    </row>
    <row r="155" customFormat="false" ht="13.5" hidden="false" customHeight="true" outlineLevel="0" collapsed="false">
      <c r="A155" s="8" t="n">
        <f aca="false">PRODUTOS!A155</f>
        <v>0</v>
      </c>
      <c r="B155" s="8" t="n">
        <f aca="false">PRODUTOS!B155</f>
        <v>0</v>
      </c>
      <c r="C155" s="7"/>
      <c r="D155" s="7"/>
      <c r="E155" s="7"/>
      <c r="F155" s="7"/>
      <c r="G155" s="8" t="n">
        <f aca="false">PRODUTOS!C155</f>
        <v>0</v>
      </c>
      <c r="H155" s="8" t="n">
        <f aca="false">PRODUTOS!D155</f>
        <v>0</v>
      </c>
      <c r="I155" s="9" t="str">
        <f aca="false">IF(SAIDA!F155="",SAIDA!B155,SAIDA!F155)</f>
        <v/>
      </c>
      <c r="J155" s="10" t="str">
        <f aca="false">IF(SAIDA!F155="",SAIDA!C155,SAIDA!J155)</f>
        <v/>
      </c>
      <c r="K155" s="11" t="str">
        <f aca="false">IF(SAIDA!F155="",SAIDA!D155,SAIDA!K155)</f>
        <v/>
      </c>
      <c r="L155" s="12" t="str">
        <f aca="false">IF(SAIDA!F155="",SAIDA!E155,SAIDA!L155)</f>
        <v/>
      </c>
      <c r="N155" s="7"/>
      <c r="P155" s="7"/>
    </row>
    <row r="156" customFormat="false" ht="13.5" hidden="false" customHeight="true" outlineLevel="0" collapsed="false">
      <c r="A156" s="8" t="n">
        <f aca="false">PRODUTOS!A156</f>
        <v>0</v>
      </c>
      <c r="B156" s="8" t="n">
        <f aca="false">PRODUTOS!B156</f>
        <v>0</v>
      </c>
      <c r="C156" s="7"/>
      <c r="D156" s="7"/>
      <c r="E156" s="7"/>
      <c r="F156" s="7"/>
      <c r="G156" s="8" t="n">
        <f aca="false">PRODUTOS!C156</f>
        <v>0</v>
      </c>
      <c r="H156" s="8" t="n">
        <f aca="false">PRODUTOS!D156</f>
        <v>0</v>
      </c>
      <c r="I156" s="9" t="str">
        <f aca="false">IF(SAIDA!F156="",SAIDA!B156,SAIDA!F156)</f>
        <v/>
      </c>
      <c r="J156" s="10" t="str">
        <f aca="false">IF(SAIDA!F156="",SAIDA!C156,SAIDA!J156)</f>
        <v/>
      </c>
      <c r="K156" s="11" t="str">
        <f aca="false">IF(SAIDA!F156="",SAIDA!D156,SAIDA!K156)</f>
        <v/>
      </c>
      <c r="L156" s="12" t="str">
        <f aca="false">IF(SAIDA!F156="",SAIDA!E156,SAIDA!L156)</f>
        <v/>
      </c>
      <c r="N156" s="7"/>
      <c r="P156" s="7"/>
    </row>
    <row r="157" customFormat="false" ht="13.5" hidden="false" customHeight="true" outlineLevel="0" collapsed="false">
      <c r="A157" s="8" t="n">
        <f aca="false">PRODUTOS!A157</f>
        <v>0</v>
      </c>
      <c r="B157" s="8" t="n">
        <f aca="false">PRODUTOS!B157</f>
        <v>0</v>
      </c>
      <c r="C157" s="7"/>
      <c r="D157" s="7"/>
      <c r="E157" s="7"/>
      <c r="F157" s="7"/>
      <c r="G157" s="8" t="n">
        <f aca="false">PRODUTOS!C157</f>
        <v>0</v>
      </c>
      <c r="H157" s="8" t="n">
        <f aca="false">PRODUTOS!D157</f>
        <v>0</v>
      </c>
      <c r="I157" s="9" t="str">
        <f aca="false">IF(SAIDA!F157="",SAIDA!B157,SAIDA!F157)</f>
        <v/>
      </c>
      <c r="J157" s="10" t="str">
        <f aca="false">IF(SAIDA!F157="",SAIDA!C157,SAIDA!J157)</f>
        <v/>
      </c>
      <c r="K157" s="11" t="str">
        <f aca="false">IF(SAIDA!F157="",SAIDA!D157,SAIDA!K157)</f>
        <v/>
      </c>
      <c r="L157" s="12" t="str">
        <f aca="false">IF(SAIDA!F157="",SAIDA!E157,SAIDA!L157)</f>
        <v/>
      </c>
      <c r="N157" s="7"/>
      <c r="P157" s="7"/>
    </row>
    <row r="158" customFormat="false" ht="13.5" hidden="false" customHeight="true" outlineLevel="0" collapsed="false">
      <c r="A158" s="8" t="n">
        <f aca="false">PRODUTOS!A158</f>
        <v>0</v>
      </c>
      <c r="B158" s="8" t="n">
        <f aca="false">PRODUTOS!B158</f>
        <v>0</v>
      </c>
      <c r="C158" s="7"/>
      <c r="D158" s="7"/>
      <c r="E158" s="7"/>
      <c r="F158" s="7"/>
      <c r="G158" s="8" t="n">
        <f aca="false">PRODUTOS!C158</f>
        <v>0</v>
      </c>
      <c r="H158" s="8" t="n">
        <f aca="false">PRODUTOS!D158</f>
        <v>0</v>
      </c>
      <c r="I158" s="9" t="str">
        <f aca="false">IF(SAIDA!F158="",SAIDA!B158,SAIDA!F158)</f>
        <v/>
      </c>
      <c r="J158" s="10" t="str">
        <f aca="false">IF(SAIDA!F158="",SAIDA!C158,SAIDA!J158)</f>
        <v/>
      </c>
      <c r="K158" s="11" t="str">
        <f aca="false">IF(SAIDA!F158="",SAIDA!D158,SAIDA!K158)</f>
        <v/>
      </c>
      <c r="L158" s="12" t="str">
        <f aca="false">IF(SAIDA!F158="",SAIDA!E158,SAIDA!L158)</f>
        <v/>
      </c>
      <c r="N158" s="7"/>
      <c r="P158" s="7"/>
    </row>
    <row r="159" customFormat="false" ht="13.5" hidden="false" customHeight="true" outlineLevel="0" collapsed="false">
      <c r="A159" s="8" t="n">
        <f aca="false">PRODUTOS!A159</f>
        <v>0</v>
      </c>
      <c r="B159" s="8" t="n">
        <f aca="false">PRODUTOS!B159</f>
        <v>0</v>
      </c>
      <c r="C159" s="7"/>
      <c r="D159" s="7"/>
      <c r="E159" s="7"/>
      <c r="F159" s="7"/>
      <c r="G159" s="8" t="n">
        <f aca="false">PRODUTOS!C159</f>
        <v>0</v>
      </c>
      <c r="H159" s="8" t="n">
        <f aca="false">PRODUTOS!D159</f>
        <v>0</v>
      </c>
      <c r="I159" s="9" t="str">
        <f aca="false">IF(SAIDA!F159="",SAIDA!B159,SAIDA!F159)</f>
        <v/>
      </c>
      <c r="J159" s="10" t="str">
        <f aca="false">IF(SAIDA!F159="",SAIDA!C159,SAIDA!J159)</f>
        <v/>
      </c>
      <c r="K159" s="11" t="str">
        <f aca="false">IF(SAIDA!F159="",SAIDA!D159,SAIDA!K159)</f>
        <v/>
      </c>
      <c r="L159" s="12" t="str">
        <f aca="false">IF(SAIDA!F159="",SAIDA!E159,SAIDA!L159)</f>
        <v/>
      </c>
      <c r="N159" s="7"/>
      <c r="P159" s="7"/>
    </row>
    <row r="160" customFormat="false" ht="13.5" hidden="false" customHeight="true" outlineLevel="0" collapsed="false">
      <c r="A160" s="8" t="n">
        <f aca="false">PRODUTOS!A160</f>
        <v>0</v>
      </c>
      <c r="B160" s="8" t="n">
        <f aca="false">PRODUTOS!B160</f>
        <v>0</v>
      </c>
      <c r="C160" s="7"/>
      <c r="D160" s="7"/>
      <c r="E160" s="7"/>
      <c r="F160" s="7"/>
      <c r="G160" s="8" t="n">
        <f aca="false">PRODUTOS!C160</f>
        <v>0</v>
      </c>
      <c r="H160" s="8" t="n">
        <f aca="false">PRODUTOS!D160</f>
        <v>0</v>
      </c>
      <c r="I160" s="9" t="str">
        <f aca="false">IF(SAIDA!F160="",SAIDA!B160,SAIDA!F160)</f>
        <v/>
      </c>
      <c r="J160" s="10" t="str">
        <f aca="false">IF(SAIDA!F160="",SAIDA!C160,SAIDA!J160)</f>
        <v/>
      </c>
      <c r="K160" s="11" t="str">
        <f aca="false">IF(SAIDA!F160="",SAIDA!D160,SAIDA!K160)</f>
        <v/>
      </c>
      <c r="L160" s="12" t="str">
        <f aca="false">IF(SAIDA!F160="",SAIDA!E160,SAIDA!L160)</f>
        <v/>
      </c>
      <c r="N160" s="7"/>
      <c r="P160" s="7"/>
    </row>
    <row r="161" customFormat="false" ht="13.5" hidden="false" customHeight="true" outlineLevel="0" collapsed="false">
      <c r="A161" s="8" t="n">
        <f aca="false">PRODUTOS!A161</f>
        <v>0</v>
      </c>
      <c r="B161" s="8" t="n">
        <f aca="false">PRODUTOS!B161</f>
        <v>0</v>
      </c>
      <c r="C161" s="7"/>
      <c r="D161" s="7"/>
      <c r="E161" s="7"/>
      <c r="F161" s="7"/>
      <c r="G161" s="8" t="n">
        <f aca="false">PRODUTOS!C161</f>
        <v>0</v>
      </c>
      <c r="H161" s="8" t="n">
        <f aca="false">PRODUTOS!D161</f>
        <v>0</v>
      </c>
      <c r="I161" s="9" t="str">
        <f aca="false">IF(SAIDA!F161="",SAIDA!B161,SAIDA!F161)</f>
        <v/>
      </c>
      <c r="J161" s="10" t="str">
        <f aca="false">IF(SAIDA!F161="",SAIDA!C161,SAIDA!J161)</f>
        <v/>
      </c>
      <c r="K161" s="11" t="str">
        <f aca="false">IF(SAIDA!F161="",SAIDA!D161,SAIDA!K161)</f>
        <v/>
      </c>
      <c r="L161" s="12" t="str">
        <f aca="false">IF(SAIDA!F161="",SAIDA!E161,SAIDA!L161)</f>
        <v/>
      </c>
      <c r="N161" s="7"/>
      <c r="P161" s="7"/>
    </row>
    <row r="162" customFormat="false" ht="13.5" hidden="false" customHeight="true" outlineLevel="0" collapsed="false">
      <c r="A162" s="8" t="n">
        <f aca="false">PRODUTOS!A162</f>
        <v>0</v>
      </c>
      <c r="B162" s="8" t="n">
        <f aca="false">PRODUTOS!B162</f>
        <v>0</v>
      </c>
      <c r="C162" s="7"/>
      <c r="D162" s="7"/>
      <c r="E162" s="7"/>
      <c r="F162" s="7"/>
      <c r="G162" s="8" t="n">
        <f aca="false">PRODUTOS!C162</f>
        <v>0</v>
      </c>
      <c r="H162" s="8" t="n">
        <f aca="false">PRODUTOS!D162</f>
        <v>0</v>
      </c>
      <c r="I162" s="9" t="str">
        <f aca="false">IF(SAIDA!F162="",SAIDA!B162,SAIDA!F162)</f>
        <v/>
      </c>
      <c r="J162" s="10" t="str">
        <f aca="false">IF(SAIDA!F162="",SAIDA!C162,SAIDA!J162)</f>
        <v/>
      </c>
      <c r="K162" s="11" t="str">
        <f aca="false">IF(SAIDA!F162="",SAIDA!D162,SAIDA!K162)</f>
        <v/>
      </c>
      <c r="L162" s="12" t="str">
        <f aca="false">IF(SAIDA!F162="",SAIDA!E162,SAIDA!L162)</f>
        <v/>
      </c>
      <c r="N162" s="7"/>
      <c r="P162" s="7"/>
    </row>
    <row r="163" customFormat="false" ht="13.5" hidden="false" customHeight="true" outlineLevel="0" collapsed="false">
      <c r="A163" s="8" t="n">
        <f aca="false">PRODUTOS!A163</f>
        <v>0</v>
      </c>
      <c r="B163" s="8" t="n">
        <f aca="false">PRODUTOS!B163</f>
        <v>0</v>
      </c>
      <c r="C163" s="7"/>
      <c r="D163" s="7"/>
      <c r="E163" s="7"/>
      <c r="F163" s="7"/>
      <c r="G163" s="8" t="n">
        <f aca="false">PRODUTOS!C163</f>
        <v>0</v>
      </c>
      <c r="H163" s="8" t="n">
        <f aca="false">PRODUTOS!D163</f>
        <v>0</v>
      </c>
      <c r="I163" s="9" t="str">
        <f aca="false">IF(SAIDA!F163="",SAIDA!B163,SAIDA!F163)</f>
        <v/>
      </c>
      <c r="J163" s="10" t="str">
        <f aca="false">IF(SAIDA!F163="",SAIDA!C163,SAIDA!J163)</f>
        <v/>
      </c>
      <c r="K163" s="11" t="str">
        <f aca="false">IF(SAIDA!F163="",SAIDA!D163,SAIDA!K163)</f>
        <v/>
      </c>
      <c r="L163" s="12" t="str">
        <f aca="false">IF(SAIDA!F163="",SAIDA!E163,SAIDA!L163)</f>
        <v/>
      </c>
      <c r="N163" s="7"/>
      <c r="P163" s="7"/>
    </row>
    <row r="164" customFormat="false" ht="13.5" hidden="false" customHeight="true" outlineLevel="0" collapsed="false">
      <c r="A164" s="8" t="n">
        <f aca="false">PRODUTOS!A164</f>
        <v>0</v>
      </c>
      <c r="B164" s="8" t="n">
        <f aca="false">PRODUTOS!B164</f>
        <v>0</v>
      </c>
      <c r="C164" s="7"/>
      <c r="D164" s="7"/>
      <c r="E164" s="7"/>
      <c r="F164" s="7"/>
      <c r="G164" s="8" t="n">
        <f aca="false">PRODUTOS!C164</f>
        <v>0</v>
      </c>
      <c r="H164" s="8" t="n">
        <f aca="false">PRODUTOS!D164</f>
        <v>0</v>
      </c>
      <c r="I164" s="9" t="str">
        <f aca="false">IF(SAIDA!F164="",SAIDA!B164,SAIDA!F164)</f>
        <v/>
      </c>
      <c r="J164" s="10" t="str">
        <f aca="false">IF(SAIDA!F164="",SAIDA!C164,SAIDA!J164)</f>
        <v/>
      </c>
      <c r="K164" s="11" t="str">
        <f aca="false">IF(SAIDA!F164="",SAIDA!D164,SAIDA!K164)</f>
        <v/>
      </c>
      <c r="L164" s="12" t="str">
        <f aca="false">IF(SAIDA!F164="",SAIDA!E164,SAIDA!L164)</f>
        <v/>
      </c>
      <c r="N164" s="7"/>
      <c r="P164" s="7"/>
    </row>
    <row r="165" customFormat="false" ht="13.5" hidden="false" customHeight="true" outlineLevel="0" collapsed="false">
      <c r="A165" s="8" t="n">
        <f aca="false">PRODUTOS!A165</f>
        <v>0</v>
      </c>
      <c r="B165" s="8" t="n">
        <f aca="false">PRODUTOS!B165</f>
        <v>0</v>
      </c>
      <c r="C165" s="7"/>
      <c r="D165" s="7"/>
      <c r="E165" s="7"/>
      <c r="F165" s="7"/>
      <c r="G165" s="8" t="n">
        <f aca="false">PRODUTOS!C165</f>
        <v>0</v>
      </c>
      <c r="H165" s="8" t="n">
        <f aca="false">PRODUTOS!D165</f>
        <v>0</v>
      </c>
      <c r="I165" s="9" t="str">
        <f aca="false">IF(SAIDA!F165="",SAIDA!B165,SAIDA!F165)</f>
        <v/>
      </c>
      <c r="J165" s="10" t="str">
        <f aca="false">IF(SAIDA!F165="",SAIDA!C165,SAIDA!J165)</f>
        <v/>
      </c>
      <c r="K165" s="11" t="str">
        <f aca="false">IF(SAIDA!F165="",SAIDA!D165,SAIDA!K165)</f>
        <v/>
      </c>
      <c r="L165" s="12" t="str">
        <f aca="false">IF(SAIDA!F165="",SAIDA!E165,SAIDA!L165)</f>
        <v/>
      </c>
      <c r="N165" s="7"/>
      <c r="P165" s="7"/>
    </row>
    <row r="166" customFormat="false" ht="13.5" hidden="false" customHeight="true" outlineLevel="0" collapsed="false">
      <c r="A166" s="8" t="n">
        <f aca="false">PRODUTOS!A166</f>
        <v>0</v>
      </c>
      <c r="B166" s="8" t="n">
        <f aca="false">PRODUTOS!B166</f>
        <v>0</v>
      </c>
      <c r="C166" s="7"/>
      <c r="D166" s="7"/>
      <c r="E166" s="7"/>
      <c r="F166" s="7"/>
      <c r="G166" s="8" t="n">
        <f aca="false">PRODUTOS!C166</f>
        <v>0</v>
      </c>
      <c r="H166" s="8" t="n">
        <f aca="false">PRODUTOS!D166</f>
        <v>0</v>
      </c>
      <c r="I166" s="9" t="str">
        <f aca="false">IF(SAIDA!F166="",SAIDA!B166,SAIDA!F166)</f>
        <v/>
      </c>
      <c r="J166" s="10" t="str">
        <f aca="false">IF(SAIDA!F166="",SAIDA!C166,SAIDA!J166)</f>
        <v/>
      </c>
      <c r="K166" s="11" t="str">
        <f aca="false">IF(SAIDA!F166="",SAIDA!D166,SAIDA!K166)</f>
        <v/>
      </c>
      <c r="L166" s="12" t="str">
        <f aca="false">IF(SAIDA!F166="",SAIDA!E166,SAIDA!L166)</f>
        <v/>
      </c>
      <c r="N166" s="7"/>
      <c r="P166" s="7"/>
    </row>
    <row r="167" customFormat="false" ht="13.5" hidden="false" customHeight="true" outlineLevel="0" collapsed="false">
      <c r="A167" s="8" t="n">
        <f aca="false">PRODUTOS!A167</f>
        <v>0</v>
      </c>
      <c r="B167" s="8" t="n">
        <f aca="false">PRODUTOS!B167</f>
        <v>0</v>
      </c>
      <c r="C167" s="7"/>
      <c r="D167" s="7"/>
      <c r="E167" s="7"/>
      <c r="F167" s="7"/>
      <c r="G167" s="8" t="n">
        <f aca="false">PRODUTOS!C167</f>
        <v>0</v>
      </c>
      <c r="H167" s="8" t="n">
        <f aca="false">PRODUTOS!D167</f>
        <v>0</v>
      </c>
      <c r="I167" s="9" t="str">
        <f aca="false">IF(SAIDA!F167="",SAIDA!B167,SAIDA!F167)</f>
        <v/>
      </c>
      <c r="J167" s="10" t="str">
        <f aca="false">IF(SAIDA!F167="",SAIDA!C167,SAIDA!J167)</f>
        <v/>
      </c>
      <c r="K167" s="11" t="str">
        <f aca="false">IF(SAIDA!F167="",SAIDA!D167,SAIDA!K167)</f>
        <v/>
      </c>
      <c r="L167" s="12" t="str">
        <f aca="false">IF(SAIDA!F167="",SAIDA!E167,SAIDA!L167)</f>
        <v/>
      </c>
      <c r="N167" s="7"/>
      <c r="P167" s="7"/>
    </row>
    <row r="168" customFormat="false" ht="13.5" hidden="false" customHeight="true" outlineLevel="0" collapsed="false">
      <c r="A168" s="8" t="n">
        <f aca="false">PRODUTOS!A168</f>
        <v>0</v>
      </c>
      <c r="B168" s="8" t="n">
        <f aca="false">PRODUTOS!B168</f>
        <v>0</v>
      </c>
      <c r="C168" s="7"/>
      <c r="D168" s="7"/>
      <c r="E168" s="7"/>
      <c r="F168" s="7"/>
      <c r="G168" s="8" t="n">
        <f aca="false">PRODUTOS!C168</f>
        <v>0</v>
      </c>
      <c r="H168" s="8" t="n">
        <f aca="false">PRODUTOS!D168</f>
        <v>0</v>
      </c>
      <c r="I168" s="9" t="str">
        <f aca="false">IF(SAIDA!F168="",SAIDA!B168,SAIDA!F168)</f>
        <v/>
      </c>
      <c r="J168" s="10" t="str">
        <f aca="false">IF(SAIDA!F168="",SAIDA!C168,SAIDA!J168)</f>
        <v/>
      </c>
      <c r="K168" s="11" t="str">
        <f aca="false">IF(SAIDA!F168="",SAIDA!D168,SAIDA!K168)</f>
        <v/>
      </c>
      <c r="L168" s="12" t="str">
        <f aca="false">IF(SAIDA!F168="",SAIDA!E168,SAIDA!L168)</f>
        <v/>
      </c>
      <c r="N168" s="7"/>
      <c r="P168" s="7"/>
    </row>
    <row r="169" customFormat="false" ht="13.5" hidden="false" customHeight="true" outlineLevel="0" collapsed="false">
      <c r="A169" s="8" t="n">
        <f aca="false">PRODUTOS!A169</f>
        <v>0</v>
      </c>
      <c r="B169" s="8" t="n">
        <f aca="false">PRODUTOS!B169</f>
        <v>0</v>
      </c>
      <c r="C169" s="7"/>
      <c r="D169" s="7"/>
      <c r="E169" s="7"/>
      <c r="F169" s="7"/>
      <c r="G169" s="8" t="n">
        <f aca="false">PRODUTOS!C169</f>
        <v>0</v>
      </c>
      <c r="H169" s="8" t="n">
        <f aca="false">PRODUTOS!D169</f>
        <v>0</v>
      </c>
      <c r="I169" s="9" t="str">
        <f aca="false">IF(SAIDA!F169="",SAIDA!B169,SAIDA!F169)</f>
        <v/>
      </c>
      <c r="J169" s="10" t="str">
        <f aca="false">IF(SAIDA!F169="",SAIDA!C169,SAIDA!J169)</f>
        <v/>
      </c>
      <c r="K169" s="11" t="str">
        <f aca="false">IF(SAIDA!F169="",SAIDA!D169,SAIDA!K169)</f>
        <v/>
      </c>
      <c r="L169" s="12" t="str">
        <f aca="false">IF(SAIDA!F169="",SAIDA!E169,SAIDA!L169)</f>
        <v/>
      </c>
      <c r="N169" s="7"/>
      <c r="P169" s="7"/>
    </row>
    <row r="170" customFormat="false" ht="13.5" hidden="false" customHeight="true" outlineLevel="0" collapsed="false">
      <c r="A170" s="8" t="n">
        <f aca="false">PRODUTOS!A170</f>
        <v>0</v>
      </c>
      <c r="B170" s="8" t="n">
        <f aca="false">PRODUTOS!B170</f>
        <v>0</v>
      </c>
      <c r="C170" s="7"/>
      <c r="D170" s="7"/>
      <c r="E170" s="7"/>
      <c r="F170" s="7"/>
      <c r="G170" s="8" t="n">
        <f aca="false">PRODUTOS!C170</f>
        <v>0</v>
      </c>
      <c r="H170" s="8" t="n">
        <f aca="false">PRODUTOS!D170</f>
        <v>0</v>
      </c>
      <c r="I170" s="9" t="str">
        <f aca="false">IF(SAIDA!F170="",SAIDA!B170,SAIDA!F170)</f>
        <v/>
      </c>
      <c r="J170" s="10" t="str">
        <f aca="false">IF(SAIDA!F170="",SAIDA!C170,SAIDA!J170)</f>
        <v/>
      </c>
      <c r="K170" s="11" t="str">
        <f aca="false">IF(SAIDA!F170="",SAIDA!D170,SAIDA!K170)</f>
        <v/>
      </c>
      <c r="L170" s="12" t="str">
        <f aca="false">IF(SAIDA!F170="",SAIDA!E170,SAIDA!L170)</f>
        <v/>
      </c>
      <c r="N170" s="7"/>
      <c r="P170" s="7"/>
    </row>
    <row r="171" customFormat="false" ht="13.5" hidden="false" customHeight="true" outlineLevel="0" collapsed="false">
      <c r="A171" s="8" t="n">
        <f aca="false">PRODUTOS!A171</f>
        <v>0</v>
      </c>
      <c r="B171" s="8" t="n">
        <f aca="false">PRODUTOS!B171</f>
        <v>0</v>
      </c>
      <c r="C171" s="7"/>
      <c r="D171" s="7"/>
      <c r="E171" s="7"/>
      <c r="F171" s="7"/>
      <c r="G171" s="8" t="n">
        <f aca="false">PRODUTOS!C171</f>
        <v>0</v>
      </c>
      <c r="H171" s="8" t="n">
        <f aca="false">PRODUTOS!D171</f>
        <v>0</v>
      </c>
      <c r="I171" s="9" t="str">
        <f aca="false">IF(SAIDA!F171="",SAIDA!B171,SAIDA!F171)</f>
        <v/>
      </c>
      <c r="J171" s="10" t="str">
        <f aca="false">IF(SAIDA!F171="",SAIDA!C171,SAIDA!J171)</f>
        <v/>
      </c>
      <c r="K171" s="11" t="str">
        <f aca="false">IF(SAIDA!F171="",SAIDA!D171,SAIDA!K171)</f>
        <v/>
      </c>
      <c r="L171" s="12" t="str">
        <f aca="false">IF(SAIDA!F171="",SAIDA!E171,SAIDA!L171)</f>
        <v/>
      </c>
      <c r="N171" s="7"/>
      <c r="P171" s="7"/>
    </row>
    <row r="172" customFormat="false" ht="13.5" hidden="false" customHeight="true" outlineLevel="0" collapsed="false">
      <c r="A172" s="8" t="n">
        <f aca="false">PRODUTOS!A172</f>
        <v>0</v>
      </c>
      <c r="B172" s="8" t="n">
        <f aca="false">PRODUTOS!B172</f>
        <v>0</v>
      </c>
      <c r="C172" s="7"/>
      <c r="D172" s="7"/>
      <c r="E172" s="7"/>
      <c r="F172" s="7"/>
      <c r="G172" s="8" t="n">
        <f aca="false">PRODUTOS!C172</f>
        <v>0</v>
      </c>
      <c r="H172" s="8" t="n">
        <f aca="false">PRODUTOS!D172</f>
        <v>0</v>
      </c>
      <c r="I172" s="9" t="str">
        <f aca="false">IF(SAIDA!F172="",SAIDA!B172,SAIDA!F172)</f>
        <v/>
      </c>
      <c r="J172" s="10" t="str">
        <f aca="false">IF(SAIDA!F172="",SAIDA!C172,SAIDA!J172)</f>
        <v/>
      </c>
      <c r="K172" s="11" t="str">
        <f aca="false">IF(SAIDA!F172="",SAIDA!D172,SAIDA!K172)</f>
        <v/>
      </c>
      <c r="L172" s="12" t="str">
        <f aca="false">IF(SAIDA!F172="",SAIDA!E172,SAIDA!L172)</f>
        <v/>
      </c>
      <c r="N172" s="7"/>
      <c r="P172" s="7"/>
    </row>
    <row r="173" customFormat="false" ht="13.5" hidden="false" customHeight="true" outlineLevel="0" collapsed="false">
      <c r="A173" s="8" t="n">
        <f aca="false">PRODUTOS!A173</f>
        <v>0</v>
      </c>
      <c r="B173" s="8" t="n">
        <f aca="false">PRODUTOS!B173</f>
        <v>0</v>
      </c>
      <c r="C173" s="7"/>
      <c r="D173" s="7"/>
      <c r="E173" s="7"/>
      <c r="F173" s="7"/>
      <c r="G173" s="8" t="n">
        <f aca="false">PRODUTOS!C173</f>
        <v>0</v>
      </c>
      <c r="H173" s="8" t="n">
        <f aca="false">PRODUTOS!D173</f>
        <v>0</v>
      </c>
      <c r="I173" s="9" t="str">
        <f aca="false">IF(SAIDA!F173="",SAIDA!B173,SAIDA!F173)</f>
        <v/>
      </c>
      <c r="J173" s="10" t="str">
        <f aca="false">IF(SAIDA!F173="",SAIDA!C173,SAIDA!J173)</f>
        <v/>
      </c>
      <c r="K173" s="11" t="str">
        <f aca="false">IF(SAIDA!F173="",SAIDA!D173,SAIDA!K173)</f>
        <v/>
      </c>
      <c r="L173" s="12" t="str">
        <f aca="false">IF(SAIDA!F173="",SAIDA!E173,SAIDA!L173)</f>
        <v/>
      </c>
      <c r="N173" s="7"/>
      <c r="P173" s="7"/>
    </row>
    <row r="174" customFormat="false" ht="13.5" hidden="false" customHeight="true" outlineLevel="0" collapsed="false">
      <c r="A174" s="8" t="n">
        <f aca="false">PRODUTOS!A174</f>
        <v>0</v>
      </c>
      <c r="B174" s="8" t="n">
        <f aca="false">PRODUTOS!B174</f>
        <v>0</v>
      </c>
      <c r="C174" s="7"/>
      <c r="D174" s="7"/>
      <c r="E174" s="7"/>
      <c r="F174" s="7"/>
      <c r="G174" s="8" t="n">
        <f aca="false">PRODUTOS!C174</f>
        <v>0</v>
      </c>
      <c r="H174" s="8" t="n">
        <f aca="false">PRODUTOS!D174</f>
        <v>0</v>
      </c>
      <c r="I174" s="9" t="str">
        <f aca="false">IF(SAIDA!F174="",SAIDA!B174,SAIDA!F174)</f>
        <v/>
      </c>
      <c r="J174" s="10" t="str">
        <f aca="false">IF(SAIDA!F174="",SAIDA!C174,SAIDA!J174)</f>
        <v/>
      </c>
      <c r="K174" s="11" t="str">
        <f aca="false">IF(SAIDA!F174="",SAIDA!D174,SAIDA!K174)</f>
        <v/>
      </c>
      <c r="L174" s="12" t="str">
        <f aca="false">IF(SAIDA!F174="",SAIDA!E174,SAIDA!L174)</f>
        <v/>
      </c>
      <c r="N174" s="7"/>
      <c r="P174" s="7"/>
    </row>
    <row r="175" customFormat="false" ht="13.5" hidden="false" customHeight="true" outlineLevel="0" collapsed="false">
      <c r="A175" s="8" t="n">
        <f aca="false">PRODUTOS!A175</f>
        <v>0</v>
      </c>
      <c r="B175" s="8" t="n">
        <f aca="false">PRODUTOS!B175</f>
        <v>0</v>
      </c>
      <c r="C175" s="7"/>
      <c r="D175" s="7"/>
      <c r="E175" s="7"/>
      <c r="F175" s="7"/>
      <c r="G175" s="8" t="n">
        <f aca="false">PRODUTOS!C175</f>
        <v>0</v>
      </c>
      <c r="H175" s="8" t="n">
        <f aca="false">PRODUTOS!D175</f>
        <v>0</v>
      </c>
      <c r="I175" s="9" t="str">
        <f aca="false">IF(SAIDA!F175="",SAIDA!B175,SAIDA!F175)</f>
        <v/>
      </c>
      <c r="J175" s="10" t="str">
        <f aca="false">IF(SAIDA!F175="",SAIDA!C175,SAIDA!J175)</f>
        <v/>
      </c>
      <c r="K175" s="11" t="str">
        <f aca="false">IF(SAIDA!F175="",SAIDA!D175,SAIDA!K175)</f>
        <v/>
      </c>
      <c r="L175" s="12" t="str">
        <f aca="false">IF(SAIDA!F175="",SAIDA!E175,SAIDA!L175)</f>
        <v/>
      </c>
      <c r="N175" s="7"/>
      <c r="P175" s="7"/>
    </row>
    <row r="176" customFormat="false" ht="13.5" hidden="false" customHeight="true" outlineLevel="0" collapsed="false">
      <c r="A176" s="8" t="n">
        <f aca="false">PRODUTOS!A176</f>
        <v>0</v>
      </c>
      <c r="B176" s="8" t="n">
        <f aca="false">PRODUTOS!B176</f>
        <v>0</v>
      </c>
      <c r="C176" s="7"/>
      <c r="D176" s="7"/>
      <c r="E176" s="7"/>
      <c r="F176" s="7"/>
      <c r="G176" s="8" t="n">
        <f aca="false">PRODUTOS!C176</f>
        <v>0</v>
      </c>
      <c r="H176" s="8" t="n">
        <f aca="false">PRODUTOS!D176</f>
        <v>0</v>
      </c>
      <c r="I176" s="9" t="str">
        <f aca="false">IF(SAIDA!F176="",SAIDA!B176,SAIDA!F176)</f>
        <v/>
      </c>
      <c r="J176" s="10" t="str">
        <f aca="false">IF(SAIDA!F176="",SAIDA!C176,SAIDA!J176)</f>
        <v/>
      </c>
      <c r="K176" s="11" t="str">
        <f aca="false">IF(SAIDA!F176="",SAIDA!D176,SAIDA!K176)</f>
        <v/>
      </c>
      <c r="L176" s="12" t="str">
        <f aca="false">IF(SAIDA!F176="",SAIDA!E176,SAIDA!L176)</f>
        <v/>
      </c>
      <c r="N176" s="7"/>
      <c r="P176" s="7"/>
    </row>
    <row r="177" customFormat="false" ht="13.5" hidden="false" customHeight="true" outlineLevel="0" collapsed="false">
      <c r="A177" s="8" t="n">
        <f aca="false">PRODUTOS!A177</f>
        <v>0</v>
      </c>
      <c r="B177" s="8" t="n">
        <f aca="false">PRODUTOS!B177</f>
        <v>0</v>
      </c>
      <c r="C177" s="7"/>
      <c r="D177" s="7"/>
      <c r="E177" s="7"/>
      <c r="F177" s="7"/>
      <c r="G177" s="8" t="n">
        <f aca="false">PRODUTOS!C177</f>
        <v>0</v>
      </c>
      <c r="H177" s="8" t="n">
        <f aca="false">PRODUTOS!D177</f>
        <v>0</v>
      </c>
      <c r="I177" s="9" t="str">
        <f aca="false">IF(SAIDA!F177="",SAIDA!B177,SAIDA!F177)</f>
        <v/>
      </c>
      <c r="J177" s="10" t="str">
        <f aca="false">IF(SAIDA!F177="",SAIDA!C177,SAIDA!J177)</f>
        <v/>
      </c>
      <c r="K177" s="11" t="str">
        <f aca="false">IF(SAIDA!F177="",SAIDA!D177,SAIDA!K177)</f>
        <v/>
      </c>
      <c r="L177" s="12" t="str">
        <f aca="false">IF(SAIDA!F177="",SAIDA!E177,SAIDA!L177)</f>
        <v/>
      </c>
      <c r="N177" s="7"/>
      <c r="P177" s="7"/>
    </row>
    <row r="178" customFormat="false" ht="13.5" hidden="false" customHeight="true" outlineLevel="0" collapsed="false">
      <c r="A178" s="8" t="n">
        <f aca="false">PRODUTOS!A178</f>
        <v>0</v>
      </c>
      <c r="B178" s="8" t="n">
        <f aca="false">PRODUTOS!B178</f>
        <v>0</v>
      </c>
      <c r="C178" s="7"/>
      <c r="D178" s="7"/>
      <c r="E178" s="7"/>
      <c r="F178" s="7"/>
      <c r="G178" s="8" t="n">
        <f aca="false">PRODUTOS!C178</f>
        <v>0</v>
      </c>
      <c r="H178" s="8" t="n">
        <f aca="false">PRODUTOS!D178</f>
        <v>0</v>
      </c>
      <c r="I178" s="9" t="str">
        <f aca="false">IF(SAIDA!F178="",SAIDA!B178,SAIDA!F178)</f>
        <v/>
      </c>
      <c r="J178" s="10" t="str">
        <f aca="false">IF(SAIDA!F178="",SAIDA!C178,SAIDA!J178)</f>
        <v/>
      </c>
      <c r="K178" s="11" t="str">
        <f aca="false">IF(SAIDA!F178="",SAIDA!D178,SAIDA!K178)</f>
        <v/>
      </c>
      <c r="L178" s="12" t="str">
        <f aca="false">IF(SAIDA!F178="",SAIDA!E178,SAIDA!L178)</f>
        <v/>
      </c>
      <c r="N178" s="7"/>
      <c r="P178" s="7"/>
    </row>
    <row r="179" customFormat="false" ht="13.5" hidden="false" customHeight="true" outlineLevel="0" collapsed="false">
      <c r="A179" s="8" t="n">
        <f aca="false">PRODUTOS!A179</f>
        <v>0</v>
      </c>
      <c r="B179" s="8" t="n">
        <f aca="false">PRODUTOS!B179</f>
        <v>0</v>
      </c>
      <c r="C179" s="7"/>
      <c r="D179" s="7"/>
      <c r="E179" s="7"/>
      <c r="F179" s="7"/>
      <c r="G179" s="8" t="n">
        <f aca="false">PRODUTOS!C179</f>
        <v>0</v>
      </c>
      <c r="H179" s="8" t="n">
        <f aca="false">PRODUTOS!D179</f>
        <v>0</v>
      </c>
      <c r="I179" s="9" t="str">
        <f aca="false">IF(SAIDA!F179="",SAIDA!B179,SAIDA!F179)</f>
        <v/>
      </c>
      <c r="J179" s="10" t="str">
        <f aca="false">IF(SAIDA!F179="",SAIDA!C179,SAIDA!J179)</f>
        <v/>
      </c>
      <c r="K179" s="11" t="str">
        <f aca="false">IF(SAIDA!F179="",SAIDA!D179,SAIDA!K179)</f>
        <v/>
      </c>
      <c r="L179" s="12" t="str">
        <f aca="false">IF(SAIDA!F179="",SAIDA!E179,SAIDA!L179)</f>
        <v/>
      </c>
      <c r="N179" s="7"/>
      <c r="P179" s="7"/>
    </row>
    <row r="180" customFormat="false" ht="13.5" hidden="false" customHeight="true" outlineLevel="0" collapsed="false">
      <c r="A180" s="8" t="n">
        <f aca="false">PRODUTOS!A180</f>
        <v>0</v>
      </c>
      <c r="B180" s="8" t="n">
        <f aca="false">PRODUTOS!B180</f>
        <v>0</v>
      </c>
      <c r="C180" s="7"/>
      <c r="D180" s="7"/>
      <c r="E180" s="7"/>
      <c r="F180" s="7"/>
      <c r="G180" s="8" t="n">
        <f aca="false">PRODUTOS!C180</f>
        <v>0</v>
      </c>
      <c r="H180" s="8" t="n">
        <f aca="false">PRODUTOS!D180</f>
        <v>0</v>
      </c>
      <c r="I180" s="9" t="str">
        <f aca="false">IF(SAIDA!F180="",SAIDA!B180,SAIDA!F180)</f>
        <v/>
      </c>
      <c r="J180" s="10" t="str">
        <f aca="false">IF(SAIDA!F180="",SAIDA!C180,SAIDA!J180)</f>
        <v/>
      </c>
      <c r="K180" s="11" t="str">
        <f aca="false">IF(SAIDA!F180="",SAIDA!D180,SAIDA!K180)</f>
        <v/>
      </c>
      <c r="L180" s="12" t="str">
        <f aca="false">IF(SAIDA!F180="",SAIDA!E180,SAIDA!L180)</f>
        <v/>
      </c>
      <c r="N180" s="7"/>
      <c r="P180" s="7"/>
    </row>
    <row r="181" customFormat="false" ht="13.5" hidden="false" customHeight="true" outlineLevel="0" collapsed="false">
      <c r="A181" s="8" t="n">
        <f aca="false">PRODUTOS!A181</f>
        <v>0</v>
      </c>
      <c r="B181" s="8" t="n">
        <f aca="false">PRODUTOS!B181</f>
        <v>0</v>
      </c>
      <c r="C181" s="7"/>
      <c r="D181" s="7"/>
      <c r="E181" s="7"/>
      <c r="F181" s="7"/>
      <c r="G181" s="8" t="n">
        <f aca="false">PRODUTOS!C181</f>
        <v>0</v>
      </c>
      <c r="H181" s="8" t="n">
        <f aca="false">PRODUTOS!D181</f>
        <v>0</v>
      </c>
      <c r="I181" s="9" t="str">
        <f aca="false">IF(SAIDA!F181="",SAIDA!B181,SAIDA!F181)</f>
        <v/>
      </c>
      <c r="J181" s="10" t="str">
        <f aca="false">IF(SAIDA!F181="",SAIDA!C181,SAIDA!J181)</f>
        <v/>
      </c>
      <c r="K181" s="11" t="str">
        <f aca="false">IF(SAIDA!F181="",SAIDA!D181,SAIDA!K181)</f>
        <v/>
      </c>
      <c r="L181" s="12" t="str">
        <f aca="false">IF(SAIDA!F181="",SAIDA!E181,SAIDA!L181)</f>
        <v/>
      </c>
      <c r="N181" s="7"/>
      <c r="P181" s="7"/>
    </row>
    <row r="182" customFormat="false" ht="13.5" hidden="false" customHeight="true" outlineLevel="0" collapsed="false">
      <c r="A182" s="8" t="n">
        <f aca="false">PRODUTOS!A182</f>
        <v>0</v>
      </c>
      <c r="B182" s="8" t="n">
        <f aca="false">PRODUTOS!B182</f>
        <v>0</v>
      </c>
      <c r="C182" s="7"/>
      <c r="D182" s="7"/>
      <c r="E182" s="7"/>
      <c r="F182" s="7"/>
      <c r="G182" s="8" t="n">
        <f aca="false">PRODUTOS!C182</f>
        <v>0</v>
      </c>
      <c r="H182" s="8" t="n">
        <f aca="false">PRODUTOS!D182</f>
        <v>0</v>
      </c>
      <c r="I182" s="9" t="str">
        <f aca="false">IF(SAIDA!F182="",SAIDA!B182,SAIDA!F182)</f>
        <v/>
      </c>
      <c r="J182" s="10" t="str">
        <f aca="false">IF(SAIDA!F182="",SAIDA!C182,SAIDA!J182)</f>
        <v/>
      </c>
      <c r="K182" s="11" t="str">
        <f aca="false">IF(SAIDA!F182="",SAIDA!D182,SAIDA!K182)</f>
        <v/>
      </c>
      <c r="L182" s="12" t="str">
        <f aca="false">IF(SAIDA!F182="",SAIDA!E182,SAIDA!L182)</f>
        <v/>
      </c>
      <c r="N182" s="7"/>
      <c r="P182" s="7"/>
    </row>
    <row r="183" customFormat="false" ht="13.5" hidden="false" customHeight="true" outlineLevel="0" collapsed="false">
      <c r="A183" s="8" t="n">
        <f aca="false">PRODUTOS!A183</f>
        <v>0</v>
      </c>
      <c r="B183" s="8" t="n">
        <f aca="false">PRODUTOS!B183</f>
        <v>0</v>
      </c>
      <c r="C183" s="7"/>
      <c r="D183" s="7"/>
      <c r="E183" s="7"/>
      <c r="F183" s="7"/>
      <c r="G183" s="8" t="n">
        <f aca="false">PRODUTOS!C183</f>
        <v>0</v>
      </c>
      <c r="H183" s="8" t="n">
        <f aca="false">PRODUTOS!D183</f>
        <v>0</v>
      </c>
      <c r="I183" s="9" t="str">
        <f aca="false">IF(SAIDA!F183="",SAIDA!B183,SAIDA!F183)</f>
        <v/>
      </c>
      <c r="J183" s="10" t="str">
        <f aca="false">IF(SAIDA!F183="",SAIDA!C183,SAIDA!J183)</f>
        <v/>
      </c>
      <c r="K183" s="11" t="str">
        <f aca="false">IF(SAIDA!F183="",SAIDA!D183,SAIDA!K183)</f>
        <v/>
      </c>
      <c r="L183" s="12" t="str">
        <f aca="false">IF(SAIDA!F183="",SAIDA!E183,SAIDA!L183)</f>
        <v/>
      </c>
      <c r="N183" s="7"/>
      <c r="P183" s="7"/>
    </row>
    <row r="184" customFormat="false" ht="13.5" hidden="false" customHeight="true" outlineLevel="0" collapsed="false">
      <c r="A184" s="8" t="n">
        <f aca="false">PRODUTOS!A184</f>
        <v>0</v>
      </c>
      <c r="B184" s="8" t="n">
        <f aca="false">PRODUTOS!B184</f>
        <v>0</v>
      </c>
      <c r="C184" s="7"/>
      <c r="D184" s="7"/>
      <c r="E184" s="7"/>
      <c r="F184" s="7"/>
      <c r="G184" s="8" t="n">
        <f aca="false">PRODUTOS!C184</f>
        <v>0</v>
      </c>
      <c r="H184" s="8" t="n">
        <f aca="false">PRODUTOS!D184</f>
        <v>0</v>
      </c>
      <c r="I184" s="9" t="str">
        <f aca="false">IF(SAIDA!F184="",SAIDA!B184,SAIDA!F184)</f>
        <v/>
      </c>
      <c r="J184" s="10" t="str">
        <f aca="false">IF(SAIDA!F184="",SAIDA!C184,SAIDA!J184)</f>
        <v/>
      </c>
      <c r="K184" s="11" t="str">
        <f aca="false">IF(SAIDA!F184="",SAIDA!D184,SAIDA!K184)</f>
        <v/>
      </c>
      <c r="L184" s="12" t="str">
        <f aca="false">IF(SAIDA!F184="",SAIDA!E184,SAIDA!L184)</f>
        <v/>
      </c>
      <c r="N184" s="7"/>
      <c r="P184" s="7"/>
    </row>
    <row r="185" customFormat="false" ht="13.5" hidden="false" customHeight="true" outlineLevel="0" collapsed="false">
      <c r="A185" s="8" t="n">
        <f aca="false">PRODUTOS!A185</f>
        <v>0</v>
      </c>
      <c r="B185" s="8" t="n">
        <f aca="false">PRODUTOS!B185</f>
        <v>0</v>
      </c>
      <c r="C185" s="7"/>
      <c r="D185" s="7"/>
      <c r="E185" s="7"/>
      <c r="F185" s="7"/>
      <c r="G185" s="8" t="n">
        <f aca="false">PRODUTOS!C185</f>
        <v>0</v>
      </c>
      <c r="H185" s="8" t="n">
        <f aca="false">PRODUTOS!D185</f>
        <v>0</v>
      </c>
      <c r="I185" s="9" t="str">
        <f aca="false">IF(SAIDA!F185="",SAIDA!B185,SAIDA!F185)</f>
        <v/>
      </c>
      <c r="J185" s="10" t="str">
        <f aca="false">IF(SAIDA!F185="",SAIDA!C185,SAIDA!J185)</f>
        <v/>
      </c>
      <c r="K185" s="11" t="str">
        <f aca="false">IF(SAIDA!F185="",SAIDA!D185,SAIDA!K185)</f>
        <v/>
      </c>
      <c r="L185" s="12" t="str">
        <f aca="false">IF(SAIDA!F185="",SAIDA!E185,SAIDA!L185)</f>
        <v/>
      </c>
      <c r="N185" s="7"/>
      <c r="P185" s="7"/>
    </row>
    <row r="186" customFormat="false" ht="13.5" hidden="false" customHeight="true" outlineLevel="0" collapsed="false">
      <c r="A186" s="8" t="n">
        <f aca="false">PRODUTOS!A186</f>
        <v>0</v>
      </c>
      <c r="B186" s="8" t="n">
        <f aca="false">PRODUTOS!B186</f>
        <v>0</v>
      </c>
      <c r="C186" s="7"/>
      <c r="D186" s="7"/>
      <c r="E186" s="7"/>
      <c r="F186" s="7"/>
      <c r="G186" s="8" t="n">
        <f aca="false">PRODUTOS!C186</f>
        <v>0</v>
      </c>
      <c r="H186" s="8" t="n">
        <f aca="false">PRODUTOS!D186</f>
        <v>0</v>
      </c>
      <c r="I186" s="9" t="str">
        <f aca="false">IF(SAIDA!F186="",SAIDA!B186,SAIDA!F186)</f>
        <v/>
      </c>
      <c r="J186" s="10" t="str">
        <f aca="false">IF(SAIDA!F186="",SAIDA!C186,SAIDA!J186)</f>
        <v/>
      </c>
      <c r="K186" s="11" t="str">
        <f aca="false">IF(SAIDA!F186="",SAIDA!D186,SAIDA!K186)</f>
        <v/>
      </c>
      <c r="L186" s="12" t="str">
        <f aca="false">IF(SAIDA!F186="",SAIDA!E186,SAIDA!L186)</f>
        <v/>
      </c>
      <c r="N186" s="7"/>
      <c r="P186" s="7"/>
    </row>
    <row r="187" customFormat="false" ht="13.5" hidden="false" customHeight="true" outlineLevel="0" collapsed="false">
      <c r="A187" s="8" t="n">
        <f aca="false">PRODUTOS!A187</f>
        <v>0</v>
      </c>
      <c r="B187" s="8" t="n">
        <f aca="false">PRODUTOS!B187</f>
        <v>0</v>
      </c>
      <c r="C187" s="7"/>
      <c r="D187" s="7"/>
      <c r="E187" s="7"/>
      <c r="F187" s="7"/>
      <c r="G187" s="8" t="n">
        <f aca="false">PRODUTOS!C187</f>
        <v>0</v>
      </c>
      <c r="H187" s="8" t="n">
        <f aca="false">PRODUTOS!D187</f>
        <v>0</v>
      </c>
      <c r="I187" s="9" t="str">
        <f aca="false">IF(SAIDA!F187="",SAIDA!B187,SAIDA!F187)</f>
        <v/>
      </c>
      <c r="J187" s="10" t="str">
        <f aca="false">IF(SAIDA!F187="",SAIDA!C187,SAIDA!J187)</f>
        <v/>
      </c>
      <c r="K187" s="11" t="str">
        <f aca="false">IF(SAIDA!F187="",SAIDA!D187,SAIDA!K187)</f>
        <v/>
      </c>
      <c r="L187" s="12" t="str">
        <f aca="false">IF(SAIDA!F187="",SAIDA!E187,SAIDA!L187)</f>
        <v/>
      </c>
      <c r="N187" s="7"/>
      <c r="P187" s="7"/>
    </row>
    <row r="188" customFormat="false" ht="13.5" hidden="false" customHeight="true" outlineLevel="0" collapsed="false">
      <c r="A188" s="8" t="n">
        <f aca="false">PRODUTOS!A188</f>
        <v>0</v>
      </c>
      <c r="B188" s="8" t="n">
        <f aca="false">PRODUTOS!B188</f>
        <v>0</v>
      </c>
      <c r="C188" s="7"/>
      <c r="D188" s="7"/>
      <c r="E188" s="7"/>
      <c r="F188" s="7"/>
      <c r="G188" s="8" t="n">
        <f aca="false">PRODUTOS!C188</f>
        <v>0</v>
      </c>
      <c r="H188" s="8" t="n">
        <f aca="false">PRODUTOS!D188</f>
        <v>0</v>
      </c>
      <c r="I188" s="9" t="str">
        <f aca="false">IF(SAIDA!F188="",SAIDA!B188,SAIDA!F188)</f>
        <v/>
      </c>
      <c r="J188" s="10" t="str">
        <f aca="false">IF(SAIDA!F188="",SAIDA!C188,SAIDA!J188)</f>
        <v/>
      </c>
      <c r="K188" s="11" t="str">
        <f aca="false">IF(SAIDA!F188="",SAIDA!D188,SAIDA!K188)</f>
        <v/>
      </c>
      <c r="L188" s="12" t="str">
        <f aca="false">IF(SAIDA!F188="",SAIDA!E188,SAIDA!L188)</f>
        <v/>
      </c>
      <c r="N188" s="7"/>
      <c r="P188" s="7"/>
    </row>
    <row r="189" customFormat="false" ht="13.5" hidden="false" customHeight="true" outlineLevel="0" collapsed="false">
      <c r="A189" s="8" t="n">
        <f aca="false">PRODUTOS!A189</f>
        <v>0</v>
      </c>
      <c r="B189" s="8" t="n">
        <f aca="false">PRODUTOS!B189</f>
        <v>0</v>
      </c>
      <c r="C189" s="7"/>
      <c r="D189" s="7"/>
      <c r="E189" s="7"/>
      <c r="F189" s="7"/>
      <c r="G189" s="8" t="n">
        <f aca="false">PRODUTOS!C189</f>
        <v>0</v>
      </c>
      <c r="H189" s="8" t="n">
        <f aca="false">PRODUTOS!D189</f>
        <v>0</v>
      </c>
      <c r="I189" s="9" t="str">
        <f aca="false">IF(SAIDA!F189="",SAIDA!B189,SAIDA!F189)</f>
        <v/>
      </c>
      <c r="J189" s="10" t="str">
        <f aca="false">IF(SAIDA!F189="",SAIDA!C189,SAIDA!J189)</f>
        <v/>
      </c>
      <c r="K189" s="11" t="str">
        <f aca="false">IF(SAIDA!F189="",SAIDA!D189,SAIDA!K189)</f>
        <v/>
      </c>
      <c r="L189" s="12" t="str">
        <f aca="false">IF(SAIDA!F189="",SAIDA!E189,SAIDA!L189)</f>
        <v/>
      </c>
      <c r="N189" s="7"/>
      <c r="P189" s="7"/>
    </row>
    <row r="190" customFormat="false" ht="13.5" hidden="false" customHeight="true" outlineLevel="0" collapsed="false">
      <c r="A190" s="8" t="n">
        <f aca="false">PRODUTOS!A190</f>
        <v>0</v>
      </c>
      <c r="B190" s="8" t="n">
        <f aca="false">PRODUTOS!B190</f>
        <v>0</v>
      </c>
      <c r="C190" s="7"/>
      <c r="D190" s="7"/>
      <c r="E190" s="7"/>
      <c r="F190" s="7"/>
      <c r="G190" s="8" t="n">
        <f aca="false">PRODUTOS!C190</f>
        <v>0</v>
      </c>
      <c r="H190" s="8" t="n">
        <f aca="false">PRODUTOS!D190</f>
        <v>0</v>
      </c>
      <c r="I190" s="9" t="str">
        <f aca="false">IF(SAIDA!F190="",SAIDA!B190,SAIDA!F190)</f>
        <v/>
      </c>
      <c r="J190" s="10" t="str">
        <f aca="false">IF(SAIDA!F190="",SAIDA!C190,SAIDA!J190)</f>
        <v/>
      </c>
      <c r="K190" s="11" t="str">
        <f aca="false">IF(SAIDA!F190="",SAIDA!D190,SAIDA!K190)</f>
        <v/>
      </c>
      <c r="L190" s="12" t="str">
        <f aca="false">IF(SAIDA!F190="",SAIDA!E190,SAIDA!L190)</f>
        <v/>
      </c>
      <c r="N190" s="7"/>
      <c r="P190" s="7"/>
    </row>
    <row r="191" customFormat="false" ht="13.5" hidden="false" customHeight="true" outlineLevel="0" collapsed="false">
      <c r="A191" s="8" t="n">
        <f aca="false">PRODUTOS!A191</f>
        <v>0</v>
      </c>
      <c r="B191" s="8" t="n">
        <f aca="false">PRODUTOS!B191</f>
        <v>0</v>
      </c>
      <c r="C191" s="7"/>
      <c r="D191" s="7"/>
      <c r="E191" s="7"/>
      <c r="F191" s="7"/>
      <c r="G191" s="8" t="n">
        <f aca="false">PRODUTOS!C191</f>
        <v>0</v>
      </c>
      <c r="H191" s="8" t="n">
        <f aca="false">PRODUTOS!D191</f>
        <v>0</v>
      </c>
      <c r="I191" s="9" t="str">
        <f aca="false">IF(SAIDA!F191="",SAIDA!B191,SAIDA!F191)</f>
        <v/>
      </c>
      <c r="J191" s="10" t="str">
        <f aca="false">IF(SAIDA!F191="",SAIDA!C191,SAIDA!J191)</f>
        <v/>
      </c>
      <c r="K191" s="11" t="str">
        <f aca="false">IF(SAIDA!F191="",SAIDA!D191,SAIDA!K191)</f>
        <v/>
      </c>
      <c r="L191" s="12" t="str">
        <f aca="false">IF(SAIDA!F191="",SAIDA!E191,SAIDA!L191)</f>
        <v/>
      </c>
      <c r="N191" s="7"/>
      <c r="P191" s="7"/>
    </row>
    <row r="192" customFormat="false" ht="13.5" hidden="false" customHeight="true" outlineLevel="0" collapsed="false">
      <c r="A192" s="8" t="n">
        <f aca="false">PRODUTOS!A192</f>
        <v>0</v>
      </c>
      <c r="B192" s="8" t="n">
        <f aca="false">PRODUTOS!B192</f>
        <v>0</v>
      </c>
      <c r="C192" s="7"/>
      <c r="D192" s="7"/>
      <c r="E192" s="7"/>
      <c r="F192" s="7"/>
      <c r="G192" s="8" t="n">
        <f aca="false">PRODUTOS!C192</f>
        <v>0</v>
      </c>
      <c r="H192" s="8" t="n">
        <f aca="false">PRODUTOS!D192</f>
        <v>0</v>
      </c>
      <c r="I192" s="9" t="str">
        <f aca="false">IF(SAIDA!F192="",SAIDA!B192,SAIDA!F192)</f>
        <v/>
      </c>
      <c r="J192" s="10" t="str">
        <f aca="false">IF(SAIDA!F192="",SAIDA!C192,SAIDA!J192)</f>
        <v/>
      </c>
      <c r="K192" s="11" t="str">
        <f aca="false">IF(SAIDA!F192="",SAIDA!D192,SAIDA!K192)</f>
        <v/>
      </c>
      <c r="L192" s="12" t="str">
        <f aca="false">IF(SAIDA!F192="",SAIDA!E192,SAIDA!L192)</f>
        <v/>
      </c>
      <c r="N192" s="7"/>
      <c r="P192" s="7"/>
    </row>
    <row r="193" customFormat="false" ht="13.5" hidden="false" customHeight="true" outlineLevel="0" collapsed="false">
      <c r="A193" s="8" t="n">
        <f aca="false">PRODUTOS!A193</f>
        <v>0</v>
      </c>
      <c r="B193" s="8" t="n">
        <f aca="false">PRODUTOS!B193</f>
        <v>0</v>
      </c>
      <c r="C193" s="7"/>
      <c r="D193" s="7"/>
      <c r="E193" s="7"/>
      <c r="F193" s="7"/>
      <c r="G193" s="8" t="n">
        <f aca="false">PRODUTOS!C193</f>
        <v>0</v>
      </c>
      <c r="H193" s="8" t="n">
        <f aca="false">PRODUTOS!D193</f>
        <v>0</v>
      </c>
      <c r="I193" s="9" t="str">
        <f aca="false">IF(SAIDA!F193="",SAIDA!B193,SAIDA!F193)</f>
        <v/>
      </c>
      <c r="J193" s="10" t="str">
        <f aca="false">IF(SAIDA!F193="",SAIDA!C193,SAIDA!J193)</f>
        <v/>
      </c>
      <c r="K193" s="11" t="str">
        <f aca="false">IF(SAIDA!F193="",SAIDA!D193,SAIDA!K193)</f>
        <v/>
      </c>
      <c r="L193" s="12" t="str">
        <f aca="false">IF(SAIDA!F193="",SAIDA!E193,SAIDA!L193)</f>
        <v/>
      </c>
      <c r="N193" s="7"/>
      <c r="P193" s="7"/>
    </row>
    <row r="194" customFormat="false" ht="13.5" hidden="false" customHeight="true" outlineLevel="0" collapsed="false">
      <c r="A194" s="8" t="n">
        <f aca="false">PRODUTOS!A194</f>
        <v>0</v>
      </c>
      <c r="B194" s="8" t="n">
        <f aca="false">PRODUTOS!B194</f>
        <v>0</v>
      </c>
      <c r="C194" s="7"/>
      <c r="D194" s="7"/>
      <c r="E194" s="7"/>
      <c r="F194" s="7"/>
      <c r="G194" s="8" t="n">
        <f aca="false">PRODUTOS!C194</f>
        <v>0</v>
      </c>
      <c r="H194" s="8" t="n">
        <f aca="false">PRODUTOS!D194</f>
        <v>0</v>
      </c>
      <c r="I194" s="9" t="str">
        <f aca="false">IF(SAIDA!F194="",SAIDA!B194,SAIDA!F194)</f>
        <v/>
      </c>
      <c r="J194" s="10" t="str">
        <f aca="false">IF(SAIDA!F194="",SAIDA!C194,SAIDA!J194)</f>
        <v/>
      </c>
      <c r="K194" s="11" t="str">
        <f aca="false">IF(SAIDA!F194="",SAIDA!D194,SAIDA!K194)</f>
        <v/>
      </c>
      <c r="L194" s="12" t="str">
        <f aca="false">IF(SAIDA!F194="",SAIDA!E194,SAIDA!L194)</f>
        <v/>
      </c>
      <c r="N194" s="7"/>
      <c r="P194" s="7"/>
    </row>
    <row r="195" customFormat="false" ht="13.5" hidden="false" customHeight="true" outlineLevel="0" collapsed="false">
      <c r="A195" s="8" t="n">
        <f aca="false">PRODUTOS!A195</f>
        <v>0</v>
      </c>
      <c r="B195" s="8" t="n">
        <f aca="false">PRODUTOS!B195</f>
        <v>0</v>
      </c>
      <c r="C195" s="7"/>
      <c r="D195" s="7"/>
      <c r="E195" s="7"/>
      <c r="F195" s="7"/>
      <c r="G195" s="8" t="n">
        <f aca="false">PRODUTOS!C195</f>
        <v>0</v>
      </c>
      <c r="H195" s="8" t="n">
        <f aca="false">PRODUTOS!D195</f>
        <v>0</v>
      </c>
      <c r="I195" s="9" t="str">
        <f aca="false">IF(SAIDA!F195="",SAIDA!B195,SAIDA!F195)</f>
        <v/>
      </c>
      <c r="J195" s="10" t="str">
        <f aca="false">IF(SAIDA!F195="",SAIDA!C195,SAIDA!J195)</f>
        <v/>
      </c>
      <c r="K195" s="11" t="str">
        <f aca="false">IF(SAIDA!F195="",SAIDA!D195,SAIDA!K195)</f>
        <v/>
      </c>
      <c r="L195" s="12" t="str">
        <f aca="false">IF(SAIDA!F195="",SAIDA!E195,SAIDA!L195)</f>
        <v/>
      </c>
      <c r="N195" s="7"/>
      <c r="P195" s="7"/>
    </row>
    <row r="196" customFormat="false" ht="13.5" hidden="false" customHeight="true" outlineLevel="0" collapsed="false">
      <c r="A196" s="8" t="n">
        <f aca="false">PRODUTOS!A196</f>
        <v>0</v>
      </c>
      <c r="B196" s="8" t="n">
        <f aca="false">PRODUTOS!B196</f>
        <v>0</v>
      </c>
      <c r="C196" s="7"/>
      <c r="D196" s="7"/>
      <c r="E196" s="7"/>
      <c r="F196" s="7"/>
      <c r="G196" s="8" t="n">
        <f aca="false">PRODUTOS!C196</f>
        <v>0</v>
      </c>
      <c r="H196" s="8" t="n">
        <f aca="false">PRODUTOS!D196</f>
        <v>0</v>
      </c>
      <c r="I196" s="9" t="str">
        <f aca="false">IF(SAIDA!F196="",SAIDA!B196,SAIDA!F196)</f>
        <v/>
      </c>
      <c r="J196" s="10" t="str">
        <f aca="false">IF(SAIDA!F196="",SAIDA!C196,SAIDA!J196)</f>
        <v/>
      </c>
      <c r="K196" s="11" t="str">
        <f aca="false">IF(SAIDA!F196="",SAIDA!D196,SAIDA!K196)</f>
        <v/>
      </c>
      <c r="L196" s="12" t="str">
        <f aca="false">IF(SAIDA!F196="",SAIDA!E196,SAIDA!L196)</f>
        <v/>
      </c>
      <c r="N196" s="7"/>
      <c r="P196" s="7"/>
    </row>
    <row r="197" customFormat="false" ht="13.5" hidden="false" customHeight="true" outlineLevel="0" collapsed="false">
      <c r="A197" s="8" t="n">
        <f aca="false">PRODUTOS!A197</f>
        <v>0</v>
      </c>
      <c r="B197" s="8" t="n">
        <f aca="false">PRODUTOS!B197</f>
        <v>0</v>
      </c>
      <c r="C197" s="7"/>
      <c r="D197" s="7"/>
      <c r="E197" s="7"/>
      <c r="F197" s="7"/>
      <c r="G197" s="8" t="n">
        <f aca="false">PRODUTOS!C197</f>
        <v>0</v>
      </c>
      <c r="H197" s="8" t="n">
        <f aca="false">PRODUTOS!D197</f>
        <v>0</v>
      </c>
      <c r="I197" s="9" t="str">
        <f aca="false">IF(SAIDA!F197="",SAIDA!B197,SAIDA!F197)</f>
        <v/>
      </c>
      <c r="J197" s="10" t="str">
        <f aca="false">IF(SAIDA!F197="",SAIDA!C197,SAIDA!J197)</f>
        <v/>
      </c>
      <c r="K197" s="11" t="str">
        <f aca="false">IF(SAIDA!F197="",SAIDA!D197,SAIDA!K197)</f>
        <v/>
      </c>
      <c r="L197" s="12" t="str">
        <f aca="false">IF(SAIDA!F197="",SAIDA!E197,SAIDA!L197)</f>
        <v/>
      </c>
      <c r="N197" s="7"/>
      <c r="P197" s="7"/>
    </row>
    <row r="198" customFormat="false" ht="13.5" hidden="false" customHeight="true" outlineLevel="0" collapsed="false">
      <c r="A198" s="8" t="n">
        <f aca="false">PRODUTOS!A198</f>
        <v>0</v>
      </c>
      <c r="B198" s="8" t="n">
        <f aca="false">PRODUTOS!B198</f>
        <v>0</v>
      </c>
      <c r="C198" s="7"/>
      <c r="D198" s="7"/>
      <c r="E198" s="7"/>
      <c r="F198" s="7"/>
      <c r="G198" s="8" t="n">
        <f aca="false">PRODUTOS!C198</f>
        <v>0</v>
      </c>
      <c r="H198" s="8" t="n">
        <f aca="false">PRODUTOS!D198</f>
        <v>0</v>
      </c>
      <c r="I198" s="9" t="str">
        <f aca="false">IF(SAIDA!F198="",SAIDA!B198,SAIDA!F198)</f>
        <v/>
      </c>
      <c r="J198" s="10" t="str">
        <f aca="false">IF(SAIDA!F198="",SAIDA!C198,SAIDA!J198)</f>
        <v/>
      </c>
      <c r="K198" s="11" t="str">
        <f aca="false">IF(SAIDA!F198="",SAIDA!D198,SAIDA!K198)</f>
        <v/>
      </c>
      <c r="L198" s="12" t="str">
        <f aca="false">IF(SAIDA!F198="",SAIDA!E198,SAIDA!L198)</f>
        <v/>
      </c>
      <c r="N198" s="7"/>
      <c r="P198" s="7"/>
    </row>
    <row r="199" customFormat="false" ht="13.5" hidden="false" customHeight="true" outlineLevel="0" collapsed="false">
      <c r="A199" s="8" t="n">
        <f aca="false">PRODUTOS!A199</f>
        <v>0</v>
      </c>
      <c r="B199" s="8" t="n">
        <f aca="false">PRODUTOS!B199</f>
        <v>0</v>
      </c>
      <c r="C199" s="7"/>
      <c r="D199" s="7"/>
      <c r="E199" s="7"/>
      <c r="F199" s="7"/>
      <c r="G199" s="8" t="n">
        <f aca="false">PRODUTOS!C199</f>
        <v>0</v>
      </c>
      <c r="H199" s="8" t="n">
        <f aca="false">PRODUTOS!D199</f>
        <v>0</v>
      </c>
      <c r="I199" s="9" t="str">
        <f aca="false">IF(SAIDA!F199="",SAIDA!B199,SAIDA!F199)</f>
        <v/>
      </c>
      <c r="J199" s="10" t="str">
        <f aca="false">IF(SAIDA!F199="",SAIDA!C199,SAIDA!J199)</f>
        <v/>
      </c>
      <c r="K199" s="11" t="str">
        <f aca="false">IF(SAIDA!F199="",SAIDA!D199,SAIDA!K199)</f>
        <v/>
      </c>
      <c r="L199" s="12" t="str">
        <f aca="false">IF(SAIDA!F199="",SAIDA!E199,SAIDA!L199)</f>
        <v/>
      </c>
      <c r="N199" s="7"/>
      <c r="P199" s="7"/>
    </row>
    <row r="200" customFormat="false" ht="13.5" hidden="false" customHeight="true" outlineLevel="0" collapsed="false">
      <c r="A200" s="8" t="n">
        <f aca="false">PRODUTOS!A200</f>
        <v>0</v>
      </c>
      <c r="B200" s="8" t="n">
        <f aca="false">PRODUTOS!B200</f>
        <v>0</v>
      </c>
      <c r="C200" s="7"/>
      <c r="D200" s="7"/>
      <c r="E200" s="7"/>
      <c r="F200" s="7"/>
      <c r="G200" s="8" t="n">
        <f aca="false">PRODUTOS!C200</f>
        <v>0</v>
      </c>
      <c r="H200" s="8" t="n">
        <f aca="false">PRODUTOS!D200</f>
        <v>0</v>
      </c>
      <c r="I200" s="9" t="str">
        <f aca="false">IF(SAIDA!F200="",SAIDA!B200,SAIDA!F200)</f>
        <v/>
      </c>
      <c r="J200" s="10" t="str">
        <f aca="false">IF(SAIDA!F200="",SAIDA!C200,SAIDA!J200)</f>
        <v/>
      </c>
      <c r="K200" s="11" t="str">
        <f aca="false">IF(SAIDA!F200="",SAIDA!D200,SAIDA!K200)</f>
        <v/>
      </c>
      <c r="L200" s="12" t="str">
        <f aca="false">IF(SAIDA!F200="",SAIDA!E200,SAIDA!L200)</f>
        <v/>
      </c>
      <c r="N200" s="7"/>
      <c r="P200" s="7"/>
    </row>
    <row r="201" customFormat="false" ht="13.5" hidden="false" customHeight="true" outlineLevel="0" collapsed="false">
      <c r="A201" s="8" t="n">
        <f aca="false">PRODUTOS!A201</f>
        <v>0</v>
      </c>
      <c r="B201" s="8" t="n">
        <f aca="false">PRODUTOS!B201</f>
        <v>0</v>
      </c>
      <c r="C201" s="7"/>
      <c r="D201" s="7"/>
      <c r="E201" s="7"/>
      <c r="F201" s="7"/>
      <c r="G201" s="8" t="n">
        <f aca="false">PRODUTOS!C201</f>
        <v>0</v>
      </c>
      <c r="H201" s="8" t="n">
        <f aca="false">PRODUTOS!D201</f>
        <v>0</v>
      </c>
      <c r="I201" s="9" t="str">
        <f aca="false">IF(SAIDA!F201="",SAIDA!B201,SAIDA!F201)</f>
        <v/>
      </c>
      <c r="J201" s="10" t="str">
        <f aca="false">IF(SAIDA!F201="",SAIDA!C201,SAIDA!J201)</f>
        <v/>
      </c>
      <c r="K201" s="11" t="str">
        <f aca="false">IF(SAIDA!F201="",SAIDA!D201,SAIDA!K201)</f>
        <v/>
      </c>
      <c r="L201" s="12" t="str">
        <f aca="false">IF(SAIDA!F201="",SAIDA!E201,SAIDA!L201)</f>
        <v/>
      </c>
      <c r="N201" s="7"/>
      <c r="P201" s="7"/>
    </row>
    <row r="202" customFormat="false" ht="13.5" hidden="false" customHeight="true" outlineLevel="0" collapsed="false">
      <c r="A202" s="8" t="n">
        <f aca="false">PRODUTOS!A202</f>
        <v>0</v>
      </c>
      <c r="B202" s="8" t="n">
        <f aca="false">PRODUTOS!B202</f>
        <v>0</v>
      </c>
      <c r="C202" s="7"/>
      <c r="D202" s="7"/>
      <c r="E202" s="7"/>
      <c r="F202" s="7"/>
      <c r="G202" s="8" t="n">
        <f aca="false">PRODUTOS!C202</f>
        <v>0</v>
      </c>
      <c r="H202" s="8" t="n">
        <f aca="false">PRODUTOS!D202</f>
        <v>0</v>
      </c>
      <c r="I202" s="9" t="str">
        <f aca="false">IF(SAIDA!F202="",SAIDA!B202,SAIDA!F202)</f>
        <v/>
      </c>
      <c r="J202" s="10" t="str">
        <f aca="false">IF(SAIDA!F202="",SAIDA!C202,SAIDA!J202)</f>
        <v/>
      </c>
      <c r="K202" s="11" t="str">
        <f aca="false">IF(SAIDA!F202="",SAIDA!D202,SAIDA!K202)</f>
        <v/>
      </c>
      <c r="L202" s="12" t="str">
        <f aca="false">IF(SAIDA!F202="",SAIDA!E202,SAIDA!L202)</f>
        <v/>
      </c>
      <c r="N202" s="7"/>
      <c r="P202" s="7"/>
    </row>
    <row r="203" customFormat="false" ht="13.5" hidden="false" customHeight="true" outlineLevel="0" collapsed="false">
      <c r="A203" s="8" t="n">
        <f aca="false">PRODUTOS!A203</f>
        <v>0</v>
      </c>
      <c r="B203" s="8" t="n">
        <f aca="false">PRODUTOS!B203</f>
        <v>0</v>
      </c>
      <c r="C203" s="7"/>
      <c r="D203" s="7"/>
      <c r="E203" s="7"/>
      <c r="F203" s="7"/>
      <c r="G203" s="8" t="n">
        <f aca="false">PRODUTOS!C203</f>
        <v>0</v>
      </c>
      <c r="H203" s="8" t="n">
        <f aca="false">PRODUTOS!D203</f>
        <v>0</v>
      </c>
      <c r="I203" s="9" t="str">
        <f aca="false">IF(SAIDA!F203="",SAIDA!B203,SAIDA!F203)</f>
        <v/>
      </c>
      <c r="J203" s="10" t="str">
        <f aca="false">IF(SAIDA!F203="",SAIDA!C203,SAIDA!J203)</f>
        <v/>
      </c>
      <c r="K203" s="11" t="str">
        <f aca="false">IF(SAIDA!F203="",SAIDA!D203,SAIDA!K203)</f>
        <v/>
      </c>
      <c r="L203" s="12" t="str">
        <f aca="false">IF(SAIDA!F203="",SAIDA!E203,SAIDA!L203)</f>
        <v/>
      </c>
      <c r="N203" s="7"/>
      <c r="P203" s="7"/>
    </row>
    <row r="204" customFormat="false" ht="13.5" hidden="false" customHeight="true" outlineLevel="0" collapsed="false">
      <c r="A204" s="8" t="n">
        <f aca="false">PRODUTOS!A204</f>
        <v>0</v>
      </c>
      <c r="B204" s="8" t="n">
        <f aca="false">PRODUTOS!B204</f>
        <v>0</v>
      </c>
      <c r="C204" s="7"/>
      <c r="D204" s="7"/>
      <c r="E204" s="7"/>
      <c r="F204" s="7"/>
      <c r="G204" s="8" t="n">
        <f aca="false">PRODUTOS!C204</f>
        <v>0</v>
      </c>
      <c r="H204" s="8" t="n">
        <f aca="false">PRODUTOS!D204</f>
        <v>0</v>
      </c>
      <c r="I204" s="9" t="str">
        <f aca="false">IF(SAIDA!F204="",SAIDA!B204,SAIDA!F204)</f>
        <v/>
      </c>
      <c r="J204" s="10" t="str">
        <f aca="false">IF(SAIDA!F204="",SAIDA!C204,SAIDA!J204)</f>
        <v/>
      </c>
      <c r="K204" s="11" t="str">
        <f aca="false">IF(SAIDA!F204="",SAIDA!D204,SAIDA!K204)</f>
        <v/>
      </c>
      <c r="L204" s="12" t="str">
        <f aca="false">IF(SAIDA!F204="",SAIDA!E204,SAIDA!L204)</f>
        <v/>
      </c>
      <c r="N204" s="7"/>
      <c r="P204" s="7"/>
    </row>
    <row r="205" customFormat="false" ht="13.5" hidden="false" customHeight="true" outlineLevel="0" collapsed="false">
      <c r="A205" s="8" t="n">
        <f aca="false">PRODUTOS!A205</f>
        <v>0</v>
      </c>
      <c r="B205" s="8" t="n">
        <f aca="false">PRODUTOS!B205</f>
        <v>0</v>
      </c>
      <c r="C205" s="7"/>
      <c r="D205" s="7"/>
      <c r="E205" s="7"/>
      <c r="F205" s="7"/>
      <c r="G205" s="8" t="n">
        <f aca="false">PRODUTOS!C205</f>
        <v>0</v>
      </c>
      <c r="H205" s="8" t="n">
        <f aca="false">PRODUTOS!D205</f>
        <v>0</v>
      </c>
      <c r="I205" s="9" t="str">
        <f aca="false">IF(SAIDA!F205="",SAIDA!B205,SAIDA!F205)</f>
        <v/>
      </c>
      <c r="J205" s="10" t="str">
        <f aca="false">IF(SAIDA!F205="",SAIDA!C205,SAIDA!J205)</f>
        <v/>
      </c>
      <c r="K205" s="11" t="str">
        <f aca="false">IF(SAIDA!F205="",SAIDA!D205,SAIDA!K205)</f>
        <v/>
      </c>
      <c r="L205" s="12" t="str">
        <f aca="false">IF(SAIDA!F205="",SAIDA!E205,SAIDA!L205)</f>
        <v/>
      </c>
      <c r="N205" s="7"/>
      <c r="P205" s="7"/>
    </row>
    <row r="206" customFormat="false" ht="13.5" hidden="false" customHeight="true" outlineLevel="0" collapsed="false">
      <c r="A206" s="8" t="n">
        <f aca="false">PRODUTOS!A206</f>
        <v>0</v>
      </c>
      <c r="B206" s="8" t="n">
        <f aca="false">PRODUTOS!B206</f>
        <v>0</v>
      </c>
      <c r="C206" s="7"/>
      <c r="D206" s="7"/>
      <c r="E206" s="7"/>
      <c r="F206" s="7"/>
      <c r="G206" s="8" t="n">
        <f aca="false">PRODUTOS!C206</f>
        <v>0</v>
      </c>
      <c r="H206" s="8" t="n">
        <f aca="false">PRODUTOS!D206</f>
        <v>0</v>
      </c>
      <c r="I206" s="9" t="str">
        <f aca="false">IF(SAIDA!F206="",SAIDA!B206,SAIDA!F206)</f>
        <v/>
      </c>
      <c r="J206" s="10" t="str">
        <f aca="false">IF(SAIDA!F206="",SAIDA!C206,SAIDA!J206)</f>
        <v/>
      </c>
      <c r="K206" s="11" t="str">
        <f aca="false">IF(SAIDA!F206="",SAIDA!D206,SAIDA!K206)</f>
        <v/>
      </c>
      <c r="L206" s="12" t="str">
        <f aca="false">IF(SAIDA!F206="",SAIDA!E206,SAIDA!L206)</f>
        <v/>
      </c>
      <c r="N206" s="7"/>
      <c r="P206" s="7"/>
    </row>
    <row r="207" customFormat="false" ht="13.5" hidden="false" customHeight="true" outlineLevel="0" collapsed="false">
      <c r="A207" s="8" t="n">
        <f aca="false">PRODUTOS!A207</f>
        <v>0</v>
      </c>
      <c r="B207" s="8" t="n">
        <f aca="false">PRODUTOS!B207</f>
        <v>0</v>
      </c>
      <c r="C207" s="7"/>
      <c r="D207" s="7"/>
      <c r="E207" s="7"/>
      <c r="F207" s="7"/>
      <c r="G207" s="8" t="n">
        <f aca="false">PRODUTOS!C207</f>
        <v>0</v>
      </c>
      <c r="H207" s="8" t="n">
        <f aca="false">PRODUTOS!D207</f>
        <v>0</v>
      </c>
      <c r="I207" s="9" t="str">
        <f aca="false">IF(SAIDA!F207="",SAIDA!B207,SAIDA!F207)</f>
        <v/>
      </c>
      <c r="J207" s="10" t="str">
        <f aca="false">IF(SAIDA!F207="",SAIDA!C207,SAIDA!J207)</f>
        <v/>
      </c>
      <c r="K207" s="11" t="str">
        <f aca="false">IF(SAIDA!F207="",SAIDA!D207,SAIDA!K207)</f>
        <v/>
      </c>
      <c r="L207" s="12" t="str">
        <f aca="false">IF(SAIDA!F207="",SAIDA!E207,SAIDA!L207)</f>
        <v/>
      </c>
      <c r="N207" s="7"/>
      <c r="P207" s="7"/>
    </row>
    <row r="208" customFormat="false" ht="13.5" hidden="false" customHeight="true" outlineLevel="0" collapsed="false">
      <c r="A208" s="8" t="n">
        <f aca="false">PRODUTOS!A208</f>
        <v>0</v>
      </c>
      <c r="B208" s="8" t="n">
        <f aca="false">PRODUTOS!B208</f>
        <v>0</v>
      </c>
      <c r="C208" s="7"/>
      <c r="D208" s="7"/>
      <c r="E208" s="7"/>
      <c r="F208" s="7"/>
      <c r="G208" s="8" t="n">
        <f aca="false">PRODUTOS!C208</f>
        <v>0</v>
      </c>
      <c r="H208" s="8" t="n">
        <f aca="false">PRODUTOS!D208</f>
        <v>0</v>
      </c>
      <c r="I208" s="9" t="str">
        <f aca="false">IF(SAIDA!F208="",SAIDA!B208,SAIDA!F208)</f>
        <v/>
      </c>
      <c r="J208" s="10" t="str">
        <f aca="false">IF(SAIDA!F208="",SAIDA!C208,SAIDA!J208)</f>
        <v/>
      </c>
      <c r="K208" s="11" t="str">
        <f aca="false">IF(SAIDA!F208="",SAIDA!D208,SAIDA!K208)</f>
        <v/>
      </c>
      <c r="L208" s="12" t="str">
        <f aca="false">IF(SAIDA!F208="",SAIDA!E208,SAIDA!L208)</f>
        <v/>
      </c>
      <c r="N208" s="7"/>
      <c r="P208" s="7"/>
    </row>
    <row r="209" customFormat="false" ht="13.5" hidden="false" customHeight="true" outlineLevel="0" collapsed="false">
      <c r="A209" s="8" t="n">
        <f aca="false">PRODUTOS!A209</f>
        <v>0</v>
      </c>
      <c r="B209" s="8" t="n">
        <f aca="false">PRODUTOS!B209</f>
        <v>0</v>
      </c>
      <c r="C209" s="7"/>
      <c r="D209" s="7"/>
      <c r="E209" s="7"/>
      <c r="F209" s="7"/>
      <c r="G209" s="8" t="n">
        <f aca="false">PRODUTOS!C209</f>
        <v>0</v>
      </c>
      <c r="H209" s="8" t="n">
        <f aca="false">PRODUTOS!D209</f>
        <v>0</v>
      </c>
      <c r="I209" s="9" t="str">
        <f aca="false">IF(SAIDA!F209="",SAIDA!B209,SAIDA!F209)</f>
        <v/>
      </c>
      <c r="J209" s="10" t="str">
        <f aca="false">IF(SAIDA!F209="",SAIDA!C209,SAIDA!J209)</f>
        <v/>
      </c>
      <c r="K209" s="11" t="str">
        <f aca="false">IF(SAIDA!F209="",SAIDA!D209,SAIDA!K209)</f>
        <v/>
      </c>
      <c r="L209" s="12" t="str">
        <f aca="false">IF(SAIDA!F209="",SAIDA!E209,SAIDA!L209)</f>
        <v/>
      </c>
      <c r="N209" s="7"/>
      <c r="P209" s="7"/>
    </row>
    <row r="210" customFormat="false" ht="13.5" hidden="false" customHeight="true" outlineLevel="0" collapsed="false">
      <c r="A210" s="8" t="n">
        <f aca="false">PRODUTOS!A210</f>
        <v>0</v>
      </c>
      <c r="B210" s="8" t="n">
        <f aca="false">PRODUTOS!B210</f>
        <v>0</v>
      </c>
      <c r="C210" s="7"/>
      <c r="D210" s="7"/>
      <c r="E210" s="7"/>
      <c r="F210" s="7"/>
      <c r="G210" s="8" t="n">
        <f aca="false">PRODUTOS!C210</f>
        <v>0</v>
      </c>
      <c r="H210" s="8" t="n">
        <f aca="false">PRODUTOS!D210</f>
        <v>0</v>
      </c>
      <c r="I210" s="9" t="str">
        <f aca="false">IF(SAIDA!F210="",SAIDA!B210,SAIDA!F210)</f>
        <v/>
      </c>
      <c r="J210" s="10" t="str">
        <f aca="false">IF(SAIDA!F210="",SAIDA!C210,SAIDA!J210)</f>
        <v/>
      </c>
      <c r="K210" s="11" t="str">
        <f aca="false">IF(SAIDA!F210="",SAIDA!D210,SAIDA!K210)</f>
        <v/>
      </c>
      <c r="L210" s="12" t="str">
        <f aca="false">IF(SAIDA!F210="",SAIDA!E210,SAIDA!L210)</f>
        <v/>
      </c>
      <c r="N210" s="7"/>
      <c r="P210" s="7"/>
    </row>
    <row r="211" customFormat="false" ht="13.5" hidden="false" customHeight="true" outlineLevel="0" collapsed="false">
      <c r="A211" s="8" t="n">
        <f aca="false">PRODUTOS!A211</f>
        <v>0</v>
      </c>
      <c r="B211" s="8" t="n">
        <f aca="false">PRODUTOS!B211</f>
        <v>0</v>
      </c>
      <c r="C211" s="7"/>
      <c r="D211" s="7"/>
      <c r="E211" s="7"/>
      <c r="F211" s="7"/>
      <c r="G211" s="8" t="n">
        <f aca="false">PRODUTOS!C211</f>
        <v>0</v>
      </c>
      <c r="H211" s="8" t="n">
        <f aca="false">PRODUTOS!D211</f>
        <v>0</v>
      </c>
      <c r="I211" s="9" t="str">
        <f aca="false">IF(SAIDA!F211="",SAIDA!B211,SAIDA!F211)</f>
        <v/>
      </c>
      <c r="J211" s="10" t="str">
        <f aca="false">IF(SAIDA!F211="",SAIDA!C211,SAIDA!J211)</f>
        <v/>
      </c>
      <c r="K211" s="11" t="str">
        <f aca="false">IF(SAIDA!F211="",SAIDA!D211,SAIDA!K211)</f>
        <v/>
      </c>
      <c r="L211" s="12" t="str">
        <f aca="false">IF(SAIDA!F211="",SAIDA!E211,SAIDA!L211)</f>
        <v/>
      </c>
      <c r="N211" s="7"/>
      <c r="P211" s="7"/>
    </row>
    <row r="212" customFormat="false" ht="13.5" hidden="false" customHeight="true" outlineLevel="0" collapsed="false">
      <c r="A212" s="8" t="n">
        <f aca="false">PRODUTOS!A212</f>
        <v>0</v>
      </c>
      <c r="B212" s="8" t="n">
        <f aca="false">PRODUTOS!B212</f>
        <v>0</v>
      </c>
      <c r="C212" s="7"/>
      <c r="D212" s="7"/>
      <c r="E212" s="7"/>
      <c r="F212" s="7"/>
      <c r="G212" s="8" t="n">
        <f aca="false">PRODUTOS!C212</f>
        <v>0</v>
      </c>
      <c r="H212" s="8" t="n">
        <f aca="false">PRODUTOS!D212</f>
        <v>0</v>
      </c>
      <c r="I212" s="9" t="str">
        <f aca="false">IF(SAIDA!F212="",SAIDA!B212,SAIDA!F212)</f>
        <v/>
      </c>
      <c r="J212" s="10" t="str">
        <f aca="false">IF(SAIDA!F212="",SAIDA!C212,SAIDA!J212)</f>
        <v/>
      </c>
      <c r="K212" s="11" t="str">
        <f aca="false">IF(SAIDA!F212="",SAIDA!D212,SAIDA!K212)</f>
        <v/>
      </c>
      <c r="L212" s="12" t="str">
        <f aca="false">IF(SAIDA!F212="",SAIDA!E212,SAIDA!L212)</f>
        <v/>
      </c>
      <c r="N212" s="7"/>
      <c r="P212" s="7"/>
    </row>
    <row r="213" customFormat="false" ht="13.5" hidden="false" customHeight="true" outlineLevel="0" collapsed="false">
      <c r="A213" s="8" t="n">
        <f aca="false">PRODUTOS!A213</f>
        <v>0</v>
      </c>
      <c r="B213" s="8" t="n">
        <f aca="false">PRODUTOS!B213</f>
        <v>0</v>
      </c>
      <c r="C213" s="7"/>
      <c r="D213" s="7"/>
      <c r="E213" s="7"/>
      <c r="F213" s="7"/>
      <c r="G213" s="8" t="n">
        <f aca="false">PRODUTOS!C213</f>
        <v>0</v>
      </c>
      <c r="H213" s="8" t="n">
        <f aca="false">PRODUTOS!D213</f>
        <v>0</v>
      </c>
      <c r="I213" s="9" t="str">
        <f aca="false">IF(SAIDA!F213="",SAIDA!B213,SAIDA!F213)</f>
        <v/>
      </c>
      <c r="J213" s="10" t="str">
        <f aca="false">IF(SAIDA!F213="",SAIDA!C213,SAIDA!J213)</f>
        <v/>
      </c>
      <c r="K213" s="11" t="str">
        <f aca="false">IF(SAIDA!F213="",SAIDA!D213,SAIDA!K213)</f>
        <v/>
      </c>
      <c r="L213" s="12" t="str">
        <f aca="false">IF(SAIDA!F213="",SAIDA!E213,SAIDA!L213)</f>
        <v/>
      </c>
      <c r="N213" s="7"/>
      <c r="P213" s="7"/>
    </row>
    <row r="214" customFormat="false" ht="13.5" hidden="false" customHeight="true" outlineLevel="0" collapsed="false">
      <c r="A214" s="8" t="n">
        <f aca="false">PRODUTOS!A214</f>
        <v>0</v>
      </c>
      <c r="B214" s="8" t="n">
        <f aca="false">PRODUTOS!B214</f>
        <v>0</v>
      </c>
      <c r="C214" s="7"/>
      <c r="D214" s="7"/>
      <c r="E214" s="7"/>
      <c r="F214" s="7"/>
      <c r="G214" s="8" t="n">
        <f aca="false">PRODUTOS!C214</f>
        <v>0</v>
      </c>
      <c r="H214" s="8" t="n">
        <f aca="false">PRODUTOS!D214</f>
        <v>0</v>
      </c>
      <c r="I214" s="9" t="str">
        <f aca="false">IF(SAIDA!F214="",SAIDA!B214,SAIDA!F214)</f>
        <v/>
      </c>
      <c r="J214" s="10" t="str">
        <f aca="false">IF(SAIDA!F214="",SAIDA!C214,SAIDA!J214)</f>
        <v/>
      </c>
      <c r="K214" s="11" t="str">
        <f aca="false">IF(SAIDA!F214="",SAIDA!D214,SAIDA!K214)</f>
        <v/>
      </c>
      <c r="L214" s="12" t="str">
        <f aca="false">IF(SAIDA!F214="",SAIDA!E214,SAIDA!L214)</f>
        <v/>
      </c>
      <c r="N214" s="7"/>
      <c r="P214" s="7"/>
    </row>
    <row r="215" customFormat="false" ht="13.5" hidden="false" customHeight="true" outlineLevel="0" collapsed="false">
      <c r="A215" s="8" t="n">
        <f aca="false">PRODUTOS!A215</f>
        <v>0</v>
      </c>
      <c r="B215" s="8" t="n">
        <f aca="false">PRODUTOS!B215</f>
        <v>0</v>
      </c>
      <c r="C215" s="7"/>
      <c r="D215" s="7"/>
      <c r="E215" s="7"/>
      <c r="F215" s="7"/>
      <c r="G215" s="8" t="n">
        <f aca="false">PRODUTOS!C215</f>
        <v>0</v>
      </c>
      <c r="H215" s="8" t="n">
        <f aca="false">PRODUTOS!D215</f>
        <v>0</v>
      </c>
      <c r="I215" s="9" t="str">
        <f aca="false">IF(SAIDA!F215="",SAIDA!B215,SAIDA!F215)</f>
        <v/>
      </c>
      <c r="J215" s="10" t="str">
        <f aca="false">IF(SAIDA!F215="",SAIDA!C215,SAIDA!J215)</f>
        <v/>
      </c>
      <c r="K215" s="11" t="str">
        <f aca="false">IF(SAIDA!F215="",SAIDA!D215,SAIDA!K215)</f>
        <v/>
      </c>
      <c r="L215" s="12" t="str">
        <f aca="false">IF(SAIDA!F215="",SAIDA!E215,SAIDA!L215)</f>
        <v/>
      </c>
      <c r="N215" s="7"/>
      <c r="P215" s="7"/>
    </row>
    <row r="216" customFormat="false" ht="13.5" hidden="false" customHeight="true" outlineLevel="0" collapsed="false">
      <c r="A216" s="8" t="n">
        <f aca="false">PRODUTOS!A216</f>
        <v>0</v>
      </c>
      <c r="B216" s="8" t="n">
        <f aca="false">PRODUTOS!B216</f>
        <v>0</v>
      </c>
      <c r="C216" s="7"/>
      <c r="D216" s="7"/>
      <c r="E216" s="7"/>
      <c r="F216" s="7"/>
      <c r="G216" s="8" t="n">
        <f aca="false">PRODUTOS!C216</f>
        <v>0</v>
      </c>
      <c r="H216" s="8" t="n">
        <f aca="false">PRODUTOS!D216</f>
        <v>0</v>
      </c>
      <c r="I216" s="9" t="str">
        <f aca="false">IF(SAIDA!F216="",SAIDA!B216,SAIDA!F216)</f>
        <v/>
      </c>
      <c r="J216" s="10" t="str">
        <f aca="false">IF(SAIDA!F216="",SAIDA!C216,SAIDA!J216)</f>
        <v/>
      </c>
      <c r="K216" s="11" t="str">
        <f aca="false">IF(SAIDA!F216="",SAIDA!D216,SAIDA!K216)</f>
        <v/>
      </c>
      <c r="L216" s="12" t="str">
        <f aca="false">IF(SAIDA!F216="",SAIDA!E216,SAIDA!L216)</f>
        <v/>
      </c>
      <c r="N216" s="7"/>
      <c r="P216" s="7"/>
    </row>
    <row r="217" customFormat="false" ht="13.5" hidden="false" customHeight="true" outlineLevel="0" collapsed="false">
      <c r="A217" s="8" t="n">
        <f aca="false">PRODUTOS!A217</f>
        <v>0</v>
      </c>
      <c r="B217" s="8" t="n">
        <f aca="false">PRODUTOS!B217</f>
        <v>0</v>
      </c>
      <c r="C217" s="7"/>
      <c r="D217" s="7"/>
      <c r="E217" s="7"/>
      <c r="F217" s="7"/>
      <c r="G217" s="8" t="n">
        <f aca="false">PRODUTOS!C217</f>
        <v>0</v>
      </c>
      <c r="H217" s="8" t="n">
        <f aca="false">PRODUTOS!D217</f>
        <v>0</v>
      </c>
      <c r="I217" s="9" t="str">
        <f aca="false">IF(SAIDA!F217="",SAIDA!B217,SAIDA!F217)</f>
        <v/>
      </c>
      <c r="J217" s="10" t="str">
        <f aca="false">IF(SAIDA!F217="",SAIDA!C217,SAIDA!J217)</f>
        <v/>
      </c>
      <c r="K217" s="11" t="str">
        <f aca="false">IF(SAIDA!F217="",SAIDA!D217,SAIDA!K217)</f>
        <v/>
      </c>
      <c r="L217" s="12" t="str">
        <f aca="false">IF(SAIDA!F217="",SAIDA!E217,SAIDA!L217)</f>
        <v/>
      </c>
      <c r="N217" s="7"/>
      <c r="P217" s="7"/>
    </row>
    <row r="218" customFormat="false" ht="13.5" hidden="false" customHeight="true" outlineLevel="0" collapsed="false">
      <c r="A218" s="8" t="n">
        <f aca="false">PRODUTOS!A218</f>
        <v>0</v>
      </c>
      <c r="B218" s="8" t="n">
        <f aca="false">PRODUTOS!B218</f>
        <v>0</v>
      </c>
      <c r="C218" s="7"/>
      <c r="D218" s="7"/>
      <c r="E218" s="7"/>
      <c r="F218" s="7"/>
      <c r="G218" s="8" t="n">
        <f aca="false">PRODUTOS!C218</f>
        <v>0</v>
      </c>
      <c r="H218" s="8" t="n">
        <f aca="false">PRODUTOS!D218</f>
        <v>0</v>
      </c>
      <c r="I218" s="9" t="str">
        <f aca="false">IF(SAIDA!F218="",SAIDA!B218,SAIDA!F218)</f>
        <v/>
      </c>
      <c r="J218" s="10" t="str">
        <f aca="false">IF(SAIDA!F218="",SAIDA!C218,SAIDA!J218)</f>
        <v/>
      </c>
      <c r="K218" s="11" t="str">
        <f aca="false">IF(SAIDA!F218="",SAIDA!D218,SAIDA!K218)</f>
        <v/>
      </c>
      <c r="L218" s="12" t="str">
        <f aca="false">IF(SAIDA!F218="",SAIDA!E218,SAIDA!L218)</f>
        <v/>
      </c>
      <c r="N218" s="7"/>
      <c r="P218" s="7"/>
    </row>
    <row r="219" customFormat="false" ht="13.5" hidden="false" customHeight="true" outlineLevel="0" collapsed="false">
      <c r="A219" s="8" t="n">
        <f aca="false">PRODUTOS!A219</f>
        <v>0</v>
      </c>
      <c r="B219" s="8" t="n">
        <f aca="false">PRODUTOS!B219</f>
        <v>0</v>
      </c>
      <c r="C219" s="7"/>
      <c r="D219" s="7"/>
      <c r="E219" s="7"/>
      <c r="F219" s="7"/>
      <c r="G219" s="8" t="n">
        <f aca="false">PRODUTOS!C219</f>
        <v>0</v>
      </c>
      <c r="H219" s="8" t="n">
        <f aca="false">PRODUTOS!D219</f>
        <v>0</v>
      </c>
      <c r="I219" s="9" t="str">
        <f aca="false">IF(SAIDA!F219="",SAIDA!B219,SAIDA!F219)</f>
        <v/>
      </c>
      <c r="J219" s="10" t="str">
        <f aca="false">IF(SAIDA!F219="",SAIDA!C219,SAIDA!J219)</f>
        <v/>
      </c>
      <c r="K219" s="11" t="str">
        <f aca="false">IF(SAIDA!F219="",SAIDA!D219,SAIDA!K219)</f>
        <v/>
      </c>
      <c r="L219" s="12" t="str">
        <f aca="false">IF(SAIDA!F219="",SAIDA!E219,SAIDA!L219)</f>
        <v/>
      </c>
      <c r="N219" s="7"/>
      <c r="P219" s="7"/>
    </row>
    <row r="220" customFormat="false" ht="13.5" hidden="false" customHeight="true" outlineLevel="0" collapsed="false">
      <c r="A220" s="8" t="n">
        <f aca="false">PRODUTOS!A220</f>
        <v>0</v>
      </c>
      <c r="B220" s="8" t="n">
        <f aca="false">PRODUTOS!B220</f>
        <v>0</v>
      </c>
      <c r="C220" s="7"/>
      <c r="D220" s="7"/>
      <c r="E220" s="7"/>
      <c r="F220" s="7"/>
      <c r="G220" s="8" t="n">
        <f aca="false">PRODUTOS!C220</f>
        <v>0</v>
      </c>
      <c r="H220" s="8" t="n">
        <f aca="false">PRODUTOS!D220</f>
        <v>0</v>
      </c>
      <c r="I220" s="9" t="str">
        <f aca="false">IF(SAIDA!F220="",SAIDA!B220,SAIDA!F220)</f>
        <v/>
      </c>
      <c r="J220" s="10" t="str">
        <f aca="false">IF(SAIDA!F220="",SAIDA!C220,SAIDA!J220)</f>
        <v/>
      </c>
      <c r="K220" s="11" t="str">
        <f aca="false">IF(SAIDA!F220="",SAIDA!D220,SAIDA!K220)</f>
        <v/>
      </c>
      <c r="L220" s="12" t="str">
        <f aca="false">IF(SAIDA!F220="",SAIDA!E220,SAIDA!L220)</f>
        <v/>
      </c>
      <c r="N220" s="7"/>
      <c r="P220" s="7"/>
    </row>
    <row r="221" customFormat="false" ht="13.5" hidden="false" customHeight="true" outlineLevel="0" collapsed="false">
      <c r="A221" s="8" t="n">
        <f aca="false">PRODUTOS!A221</f>
        <v>0</v>
      </c>
      <c r="B221" s="8" t="n">
        <f aca="false">PRODUTOS!B221</f>
        <v>0</v>
      </c>
      <c r="C221" s="7"/>
      <c r="D221" s="7"/>
      <c r="E221" s="7"/>
      <c r="F221" s="7"/>
      <c r="G221" s="8" t="n">
        <f aca="false">PRODUTOS!C221</f>
        <v>0</v>
      </c>
      <c r="H221" s="8" t="n">
        <f aca="false">PRODUTOS!D221</f>
        <v>0</v>
      </c>
      <c r="I221" s="9" t="str">
        <f aca="false">IF(SAIDA!F221="",SAIDA!B221,SAIDA!F221)</f>
        <v/>
      </c>
      <c r="J221" s="10" t="str">
        <f aca="false">IF(SAIDA!F221="",SAIDA!C221,SAIDA!J221)</f>
        <v/>
      </c>
      <c r="K221" s="11" t="str">
        <f aca="false">IF(SAIDA!F221="",SAIDA!D221,SAIDA!K221)</f>
        <v/>
      </c>
      <c r="L221" s="12" t="str">
        <f aca="false">IF(SAIDA!F221="",SAIDA!E221,SAIDA!L221)</f>
        <v/>
      </c>
      <c r="N221" s="7"/>
      <c r="P221" s="7"/>
    </row>
    <row r="222" customFormat="false" ht="13.5" hidden="false" customHeight="true" outlineLevel="0" collapsed="false">
      <c r="A222" s="8" t="n">
        <f aca="false">PRODUTOS!A222</f>
        <v>0</v>
      </c>
      <c r="B222" s="8" t="n">
        <f aca="false">PRODUTOS!B222</f>
        <v>0</v>
      </c>
      <c r="C222" s="7"/>
      <c r="D222" s="7"/>
      <c r="E222" s="7"/>
      <c r="F222" s="7"/>
      <c r="G222" s="8" t="n">
        <f aca="false">PRODUTOS!C222</f>
        <v>0</v>
      </c>
      <c r="H222" s="8" t="n">
        <f aca="false">PRODUTOS!D222</f>
        <v>0</v>
      </c>
      <c r="I222" s="9" t="str">
        <f aca="false">IF(SAIDA!F222="",SAIDA!B222,SAIDA!F222)</f>
        <v/>
      </c>
      <c r="J222" s="10" t="str">
        <f aca="false">IF(SAIDA!F222="",SAIDA!C222,SAIDA!J222)</f>
        <v/>
      </c>
      <c r="K222" s="11" t="str">
        <f aca="false">IF(SAIDA!F222="",SAIDA!D222,SAIDA!K222)</f>
        <v/>
      </c>
      <c r="L222" s="12" t="str">
        <f aca="false">IF(SAIDA!F222="",SAIDA!E222,SAIDA!L222)</f>
        <v/>
      </c>
      <c r="N222" s="7"/>
      <c r="P222" s="7"/>
    </row>
    <row r="223" customFormat="false" ht="13.5" hidden="false" customHeight="true" outlineLevel="0" collapsed="false">
      <c r="A223" s="8" t="n">
        <f aca="false">PRODUTOS!A223</f>
        <v>0</v>
      </c>
      <c r="B223" s="8" t="n">
        <f aca="false">PRODUTOS!B223</f>
        <v>0</v>
      </c>
      <c r="C223" s="7"/>
      <c r="D223" s="7"/>
      <c r="E223" s="7"/>
      <c r="F223" s="7"/>
      <c r="G223" s="8" t="n">
        <f aca="false">PRODUTOS!C223</f>
        <v>0</v>
      </c>
      <c r="H223" s="8" t="n">
        <f aca="false">PRODUTOS!D223</f>
        <v>0</v>
      </c>
      <c r="I223" s="9" t="str">
        <f aca="false">IF(SAIDA!F223="",SAIDA!B223,SAIDA!F223)</f>
        <v/>
      </c>
      <c r="J223" s="10" t="str">
        <f aca="false">IF(SAIDA!F223="",SAIDA!C223,SAIDA!J223)</f>
        <v/>
      </c>
      <c r="K223" s="11" t="str">
        <f aca="false">IF(SAIDA!F223="",SAIDA!D223,SAIDA!K223)</f>
        <v/>
      </c>
      <c r="L223" s="12" t="str">
        <f aca="false">IF(SAIDA!F223="",SAIDA!E223,SAIDA!L223)</f>
        <v/>
      </c>
      <c r="N223" s="7"/>
      <c r="P223" s="7"/>
    </row>
    <row r="224" customFormat="false" ht="13.5" hidden="false" customHeight="true" outlineLevel="0" collapsed="false">
      <c r="A224" s="8" t="n">
        <f aca="false">PRODUTOS!A224</f>
        <v>0</v>
      </c>
      <c r="B224" s="8" t="n">
        <f aca="false">PRODUTOS!B224</f>
        <v>0</v>
      </c>
      <c r="C224" s="7"/>
      <c r="D224" s="7"/>
      <c r="E224" s="7"/>
      <c r="F224" s="7"/>
      <c r="G224" s="8" t="n">
        <f aca="false">PRODUTOS!C224</f>
        <v>0</v>
      </c>
      <c r="H224" s="8" t="n">
        <f aca="false">PRODUTOS!D224</f>
        <v>0</v>
      </c>
      <c r="I224" s="9" t="str">
        <f aca="false">IF(SAIDA!F224="",SAIDA!B224,SAIDA!F224)</f>
        <v/>
      </c>
      <c r="J224" s="10" t="str">
        <f aca="false">IF(SAIDA!F224="",SAIDA!C224,SAIDA!J224)</f>
        <v/>
      </c>
      <c r="K224" s="11" t="str">
        <f aca="false">IF(SAIDA!F224="",SAIDA!D224,SAIDA!K224)</f>
        <v/>
      </c>
      <c r="L224" s="12" t="str">
        <f aca="false">IF(SAIDA!F224="",SAIDA!E224,SAIDA!L224)</f>
        <v/>
      </c>
      <c r="N224" s="7"/>
      <c r="P224" s="7"/>
    </row>
    <row r="225" customFormat="false" ht="13.5" hidden="false" customHeight="true" outlineLevel="0" collapsed="false">
      <c r="A225" s="8" t="n">
        <f aca="false">PRODUTOS!A225</f>
        <v>0</v>
      </c>
      <c r="B225" s="8" t="n">
        <f aca="false">PRODUTOS!B225</f>
        <v>0</v>
      </c>
      <c r="C225" s="7"/>
      <c r="D225" s="7"/>
      <c r="E225" s="7"/>
      <c r="F225" s="7"/>
      <c r="G225" s="8" t="n">
        <f aca="false">PRODUTOS!C225</f>
        <v>0</v>
      </c>
      <c r="H225" s="8" t="n">
        <f aca="false">PRODUTOS!D225</f>
        <v>0</v>
      </c>
      <c r="I225" s="9" t="str">
        <f aca="false">IF(SAIDA!F225="",SAIDA!B225,SAIDA!F225)</f>
        <v/>
      </c>
      <c r="J225" s="10" t="str">
        <f aca="false">IF(SAIDA!F225="",SAIDA!C225,SAIDA!J225)</f>
        <v/>
      </c>
      <c r="K225" s="11" t="str">
        <f aca="false">IF(SAIDA!F225="",SAIDA!D225,SAIDA!K225)</f>
        <v/>
      </c>
      <c r="L225" s="12" t="str">
        <f aca="false">IF(SAIDA!F225="",SAIDA!E225,SAIDA!L225)</f>
        <v/>
      </c>
      <c r="N225" s="7"/>
      <c r="P225" s="7"/>
    </row>
    <row r="226" customFormat="false" ht="13.5" hidden="false" customHeight="true" outlineLevel="0" collapsed="false">
      <c r="A226" s="8" t="n">
        <f aca="false">PRODUTOS!A226</f>
        <v>0</v>
      </c>
      <c r="B226" s="8" t="n">
        <f aca="false">PRODUTOS!B226</f>
        <v>0</v>
      </c>
      <c r="C226" s="7"/>
      <c r="D226" s="7"/>
      <c r="E226" s="7"/>
      <c r="F226" s="7"/>
      <c r="G226" s="8" t="n">
        <f aca="false">PRODUTOS!C226</f>
        <v>0</v>
      </c>
      <c r="H226" s="8" t="n">
        <f aca="false">PRODUTOS!D226</f>
        <v>0</v>
      </c>
      <c r="I226" s="9" t="str">
        <f aca="false">IF(SAIDA!F226="",SAIDA!B226,SAIDA!F226)</f>
        <v/>
      </c>
      <c r="J226" s="10" t="str">
        <f aca="false">IF(SAIDA!F226="",SAIDA!C226,SAIDA!J226)</f>
        <v/>
      </c>
      <c r="K226" s="11" t="str">
        <f aca="false">IF(SAIDA!F226="",SAIDA!D226,SAIDA!K226)</f>
        <v/>
      </c>
      <c r="L226" s="12" t="str">
        <f aca="false">IF(SAIDA!F226="",SAIDA!E226,SAIDA!L226)</f>
        <v/>
      </c>
      <c r="N226" s="7"/>
      <c r="P226" s="7"/>
    </row>
    <row r="227" customFormat="false" ht="13.5" hidden="false" customHeight="true" outlineLevel="0" collapsed="false">
      <c r="A227" s="8" t="n">
        <f aca="false">PRODUTOS!A227</f>
        <v>0</v>
      </c>
      <c r="B227" s="8" t="n">
        <f aca="false">PRODUTOS!B227</f>
        <v>0</v>
      </c>
      <c r="C227" s="7"/>
      <c r="D227" s="7"/>
      <c r="E227" s="7"/>
      <c r="F227" s="7"/>
      <c r="G227" s="8" t="n">
        <f aca="false">PRODUTOS!C227</f>
        <v>0</v>
      </c>
      <c r="H227" s="8" t="n">
        <f aca="false">PRODUTOS!D227</f>
        <v>0</v>
      </c>
      <c r="I227" s="9" t="str">
        <f aca="false">IF(SAIDA!F227="",SAIDA!B227,SAIDA!F227)</f>
        <v/>
      </c>
      <c r="J227" s="10" t="str">
        <f aca="false">IF(SAIDA!F227="",SAIDA!C227,SAIDA!J227)</f>
        <v/>
      </c>
      <c r="K227" s="11" t="str">
        <f aca="false">IF(SAIDA!F227="",SAIDA!D227,SAIDA!K227)</f>
        <v/>
      </c>
      <c r="L227" s="12" t="str">
        <f aca="false">IF(SAIDA!F227="",SAIDA!E227,SAIDA!L227)</f>
        <v/>
      </c>
      <c r="N227" s="7"/>
      <c r="P227" s="7"/>
    </row>
    <row r="228" customFormat="false" ht="13.5" hidden="false" customHeight="true" outlineLevel="0" collapsed="false">
      <c r="A228" s="8" t="n">
        <f aca="false">PRODUTOS!A228</f>
        <v>0</v>
      </c>
      <c r="B228" s="8" t="n">
        <f aca="false">PRODUTOS!B228</f>
        <v>0</v>
      </c>
      <c r="C228" s="7"/>
      <c r="D228" s="7"/>
      <c r="E228" s="7"/>
      <c r="F228" s="7"/>
      <c r="G228" s="8" t="n">
        <f aca="false">PRODUTOS!C228</f>
        <v>0</v>
      </c>
      <c r="H228" s="8" t="n">
        <f aca="false">PRODUTOS!D228</f>
        <v>0</v>
      </c>
      <c r="I228" s="9" t="str">
        <f aca="false">IF(SAIDA!F228="",SAIDA!B228,SAIDA!F228)</f>
        <v/>
      </c>
      <c r="J228" s="10" t="str">
        <f aca="false">IF(SAIDA!F228="",SAIDA!C228,SAIDA!J228)</f>
        <v/>
      </c>
      <c r="K228" s="11" t="str">
        <f aca="false">IF(SAIDA!F228="",SAIDA!D228,SAIDA!K228)</f>
        <v/>
      </c>
      <c r="L228" s="12" t="str">
        <f aca="false">IF(SAIDA!F228="",SAIDA!E228,SAIDA!L228)</f>
        <v/>
      </c>
      <c r="N228" s="7"/>
      <c r="P228" s="7"/>
    </row>
    <row r="229" customFormat="false" ht="13.5" hidden="false" customHeight="true" outlineLevel="0" collapsed="false">
      <c r="A229" s="8" t="n">
        <f aca="false">PRODUTOS!A229</f>
        <v>0</v>
      </c>
      <c r="B229" s="8" t="n">
        <f aca="false">PRODUTOS!B229</f>
        <v>0</v>
      </c>
      <c r="C229" s="7"/>
      <c r="D229" s="7"/>
      <c r="E229" s="7"/>
      <c r="F229" s="7"/>
      <c r="G229" s="8" t="n">
        <f aca="false">PRODUTOS!C229</f>
        <v>0</v>
      </c>
      <c r="H229" s="8" t="n">
        <f aca="false">PRODUTOS!D229</f>
        <v>0</v>
      </c>
      <c r="I229" s="9" t="str">
        <f aca="false">IF(SAIDA!F229="",SAIDA!B229,SAIDA!F229)</f>
        <v/>
      </c>
      <c r="J229" s="10" t="str">
        <f aca="false">IF(SAIDA!F229="",SAIDA!C229,SAIDA!J229)</f>
        <v/>
      </c>
      <c r="K229" s="11" t="str">
        <f aca="false">IF(SAIDA!F229="",SAIDA!D229,SAIDA!K229)</f>
        <v/>
      </c>
      <c r="L229" s="12" t="str">
        <f aca="false">IF(SAIDA!F229="",SAIDA!E229,SAIDA!L229)</f>
        <v/>
      </c>
      <c r="N229" s="7"/>
      <c r="P229" s="7"/>
    </row>
    <row r="230" customFormat="false" ht="13.5" hidden="false" customHeight="true" outlineLevel="0" collapsed="false">
      <c r="A230" s="8" t="n">
        <f aca="false">PRODUTOS!A230</f>
        <v>0</v>
      </c>
      <c r="B230" s="8" t="n">
        <f aca="false">PRODUTOS!B230</f>
        <v>0</v>
      </c>
      <c r="C230" s="7"/>
      <c r="D230" s="7"/>
      <c r="E230" s="7"/>
      <c r="F230" s="7"/>
      <c r="G230" s="8" t="n">
        <f aca="false">PRODUTOS!C230</f>
        <v>0</v>
      </c>
      <c r="H230" s="8" t="n">
        <f aca="false">PRODUTOS!D230</f>
        <v>0</v>
      </c>
      <c r="I230" s="9" t="str">
        <f aca="false">IF(SAIDA!F230="",SAIDA!B230,SAIDA!F230)</f>
        <v/>
      </c>
      <c r="J230" s="10" t="str">
        <f aca="false">IF(SAIDA!F230="",SAIDA!C230,SAIDA!J230)</f>
        <v/>
      </c>
      <c r="K230" s="11" t="str">
        <f aca="false">IF(SAIDA!F230="",SAIDA!D230,SAIDA!K230)</f>
        <v/>
      </c>
      <c r="L230" s="12" t="str">
        <f aca="false">IF(SAIDA!F230="",SAIDA!E230,SAIDA!L230)</f>
        <v/>
      </c>
      <c r="N230" s="7"/>
      <c r="P230" s="7"/>
    </row>
    <row r="231" customFormat="false" ht="13.5" hidden="false" customHeight="true" outlineLevel="0" collapsed="false">
      <c r="A231" s="8" t="n">
        <f aca="false">PRODUTOS!A231</f>
        <v>0</v>
      </c>
      <c r="B231" s="8" t="n">
        <f aca="false">PRODUTOS!B231</f>
        <v>0</v>
      </c>
      <c r="C231" s="7"/>
      <c r="D231" s="7"/>
      <c r="E231" s="7"/>
      <c r="F231" s="7"/>
      <c r="G231" s="8" t="n">
        <f aca="false">PRODUTOS!C231</f>
        <v>0</v>
      </c>
      <c r="H231" s="8" t="n">
        <f aca="false">PRODUTOS!D231</f>
        <v>0</v>
      </c>
      <c r="I231" s="9" t="str">
        <f aca="false">IF(SAIDA!F231="",SAIDA!B231,SAIDA!F231)</f>
        <v/>
      </c>
      <c r="J231" s="10" t="str">
        <f aca="false">IF(SAIDA!F231="",SAIDA!C231,SAIDA!J231)</f>
        <v/>
      </c>
      <c r="K231" s="11" t="str">
        <f aca="false">IF(SAIDA!F231="",SAIDA!D231,SAIDA!K231)</f>
        <v/>
      </c>
      <c r="L231" s="12" t="str">
        <f aca="false">IF(SAIDA!F231="",SAIDA!E231,SAIDA!L231)</f>
        <v/>
      </c>
      <c r="N231" s="7"/>
      <c r="P231" s="7"/>
    </row>
    <row r="232" customFormat="false" ht="13.5" hidden="false" customHeight="true" outlineLevel="0" collapsed="false">
      <c r="A232" s="8" t="n">
        <f aca="false">PRODUTOS!A232</f>
        <v>0</v>
      </c>
      <c r="B232" s="8" t="n">
        <f aca="false">PRODUTOS!B232</f>
        <v>0</v>
      </c>
      <c r="C232" s="7"/>
      <c r="D232" s="7"/>
      <c r="E232" s="7"/>
      <c r="F232" s="7"/>
      <c r="G232" s="8" t="n">
        <f aca="false">PRODUTOS!C232</f>
        <v>0</v>
      </c>
      <c r="H232" s="8" t="n">
        <f aca="false">PRODUTOS!D232</f>
        <v>0</v>
      </c>
      <c r="I232" s="9" t="str">
        <f aca="false">IF(SAIDA!F232="",SAIDA!B232,SAIDA!F232)</f>
        <v/>
      </c>
      <c r="J232" s="10" t="str">
        <f aca="false">IF(SAIDA!F232="",SAIDA!C232,SAIDA!J232)</f>
        <v/>
      </c>
      <c r="K232" s="11" t="str">
        <f aca="false">IF(SAIDA!F232="",SAIDA!D232,SAIDA!K232)</f>
        <v/>
      </c>
      <c r="L232" s="12" t="str">
        <f aca="false">IF(SAIDA!F232="",SAIDA!E232,SAIDA!L232)</f>
        <v/>
      </c>
      <c r="N232" s="7"/>
      <c r="P232" s="7"/>
    </row>
    <row r="233" customFormat="false" ht="13.5" hidden="false" customHeight="true" outlineLevel="0" collapsed="false">
      <c r="A233" s="8" t="n">
        <f aca="false">PRODUTOS!A233</f>
        <v>0</v>
      </c>
      <c r="B233" s="8" t="n">
        <f aca="false">PRODUTOS!B233</f>
        <v>0</v>
      </c>
      <c r="C233" s="7"/>
      <c r="D233" s="7"/>
      <c r="E233" s="7"/>
      <c r="F233" s="7"/>
      <c r="G233" s="8" t="n">
        <f aca="false">PRODUTOS!C233</f>
        <v>0</v>
      </c>
      <c r="H233" s="8" t="n">
        <f aca="false">PRODUTOS!D233</f>
        <v>0</v>
      </c>
      <c r="I233" s="9" t="str">
        <f aca="false">IF(SAIDA!F233="",SAIDA!B233,SAIDA!F233)</f>
        <v/>
      </c>
      <c r="J233" s="10" t="str">
        <f aca="false">IF(SAIDA!F233="",SAIDA!C233,SAIDA!J233)</f>
        <v/>
      </c>
      <c r="K233" s="11" t="str">
        <f aca="false">IF(SAIDA!F233="",SAIDA!D233,SAIDA!K233)</f>
        <v/>
      </c>
      <c r="L233" s="12" t="str">
        <f aca="false">IF(SAIDA!F233="",SAIDA!E233,SAIDA!L233)</f>
        <v/>
      </c>
      <c r="N233" s="7"/>
      <c r="P233" s="7"/>
    </row>
    <row r="234" customFormat="false" ht="13.5" hidden="false" customHeight="true" outlineLevel="0" collapsed="false">
      <c r="A234" s="8" t="n">
        <f aca="false">PRODUTOS!A234</f>
        <v>0</v>
      </c>
      <c r="B234" s="8" t="n">
        <f aca="false">PRODUTOS!B234</f>
        <v>0</v>
      </c>
      <c r="C234" s="7"/>
      <c r="D234" s="7"/>
      <c r="E234" s="7"/>
      <c r="F234" s="7"/>
      <c r="G234" s="8" t="n">
        <f aca="false">PRODUTOS!C234</f>
        <v>0</v>
      </c>
      <c r="H234" s="8" t="n">
        <f aca="false">PRODUTOS!D234</f>
        <v>0</v>
      </c>
      <c r="I234" s="9" t="str">
        <f aca="false">IF(SAIDA!F234="",SAIDA!B234,SAIDA!F234)</f>
        <v/>
      </c>
      <c r="J234" s="10" t="str">
        <f aca="false">IF(SAIDA!F234="",SAIDA!C234,SAIDA!J234)</f>
        <v/>
      </c>
      <c r="K234" s="11" t="str">
        <f aca="false">IF(SAIDA!F234="",SAIDA!D234,SAIDA!K234)</f>
        <v/>
      </c>
      <c r="L234" s="12" t="str">
        <f aca="false">IF(SAIDA!F234="",SAIDA!E234,SAIDA!L234)</f>
        <v/>
      </c>
      <c r="N234" s="7"/>
      <c r="P234" s="7"/>
    </row>
    <row r="235" customFormat="false" ht="13.5" hidden="false" customHeight="true" outlineLevel="0" collapsed="false">
      <c r="A235" s="8" t="n">
        <f aca="false">PRODUTOS!A235</f>
        <v>0</v>
      </c>
      <c r="B235" s="8" t="n">
        <f aca="false">PRODUTOS!B235</f>
        <v>0</v>
      </c>
      <c r="C235" s="7"/>
      <c r="D235" s="7"/>
      <c r="E235" s="7"/>
      <c r="F235" s="7"/>
      <c r="G235" s="8" t="n">
        <f aca="false">PRODUTOS!C235</f>
        <v>0</v>
      </c>
      <c r="H235" s="8" t="n">
        <f aca="false">PRODUTOS!D235</f>
        <v>0</v>
      </c>
      <c r="I235" s="9" t="str">
        <f aca="false">IF(SAIDA!F235="",SAIDA!B235,SAIDA!F235)</f>
        <v/>
      </c>
      <c r="J235" s="10" t="str">
        <f aca="false">IF(SAIDA!F235="",SAIDA!C235,SAIDA!J235)</f>
        <v/>
      </c>
      <c r="K235" s="11" t="str">
        <f aca="false">IF(SAIDA!F235="",SAIDA!D235,SAIDA!K235)</f>
        <v/>
      </c>
      <c r="L235" s="12" t="str">
        <f aca="false">IF(SAIDA!F235="",SAIDA!E235,SAIDA!L235)</f>
        <v/>
      </c>
      <c r="N235" s="7"/>
      <c r="P235" s="7"/>
    </row>
    <row r="236" customFormat="false" ht="13.5" hidden="false" customHeight="true" outlineLevel="0" collapsed="false">
      <c r="A236" s="8" t="n">
        <f aca="false">PRODUTOS!A236</f>
        <v>0</v>
      </c>
      <c r="B236" s="8" t="n">
        <f aca="false">PRODUTOS!B236</f>
        <v>0</v>
      </c>
      <c r="C236" s="7"/>
      <c r="D236" s="7"/>
      <c r="E236" s="7"/>
      <c r="F236" s="7"/>
      <c r="G236" s="8" t="n">
        <f aca="false">PRODUTOS!C236</f>
        <v>0</v>
      </c>
      <c r="H236" s="8" t="n">
        <f aca="false">PRODUTOS!D236</f>
        <v>0</v>
      </c>
      <c r="I236" s="9" t="str">
        <f aca="false">IF(SAIDA!F236="",SAIDA!B236,SAIDA!F236)</f>
        <v/>
      </c>
      <c r="J236" s="10" t="str">
        <f aca="false">IF(SAIDA!F236="",SAIDA!C236,SAIDA!J236)</f>
        <v/>
      </c>
      <c r="K236" s="11" t="str">
        <f aca="false">IF(SAIDA!F236="",SAIDA!D236,SAIDA!K236)</f>
        <v/>
      </c>
      <c r="L236" s="12" t="str">
        <f aca="false">IF(SAIDA!F236="",SAIDA!E236,SAIDA!L236)</f>
        <v/>
      </c>
      <c r="N236" s="7"/>
      <c r="P236" s="7"/>
    </row>
    <row r="237" customFormat="false" ht="13.5" hidden="false" customHeight="true" outlineLevel="0" collapsed="false">
      <c r="A237" s="8" t="n">
        <f aca="false">PRODUTOS!A237</f>
        <v>0</v>
      </c>
      <c r="B237" s="8" t="n">
        <f aca="false">PRODUTOS!B237</f>
        <v>0</v>
      </c>
      <c r="C237" s="7"/>
      <c r="D237" s="7"/>
      <c r="E237" s="7"/>
      <c r="F237" s="7"/>
      <c r="G237" s="8" t="n">
        <f aca="false">PRODUTOS!C237</f>
        <v>0</v>
      </c>
      <c r="H237" s="8" t="n">
        <f aca="false">PRODUTOS!D237</f>
        <v>0</v>
      </c>
      <c r="I237" s="9" t="str">
        <f aca="false">IF(SAIDA!F237="",SAIDA!B237,SAIDA!F237)</f>
        <v/>
      </c>
      <c r="J237" s="10" t="str">
        <f aca="false">IF(SAIDA!F237="",SAIDA!C237,SAIDA!J237)</f>
        <v/>
      </c>
      <c r="K237" s="11" t="str">
        <f aca="false">IF(SAIDA!F237="",SAIDA!D237,SAIDA!K237)</f>
        <v/>
      </c>
      <c r="L237" s="12" t="str">
        <f aca="false">IF(SAIDA!F237="",SAIDA!E237,SAIDA!L237)</f>
        <v/>
      </c>
      <c r="N237" s="7"/>
      <c r="P237" s="7"/>
    </row>
    <row r="238" customFormat="false" ht="13.5" hidden="false" customHeight="true" outlineLevel="0" collapsed="false">
      <c r="A238" s="8" t="n">
        <f aca="false">PRODUTOS!A238</f>
        <v>0</v>
      </c>
      <c r="B238" s="8" t="n">
        <f aca="false">PRODUTOS!B238</f>
        <v>0</v>
      </c>
      <c r="C238" s="7"/>
      <c r="D238" s="7"/>
      <c r="E238" s="7"/>
      <c r="F238" s="7"/>
      <c r="G238" s="8" t="n">
        <f aca="false">PRODUTOS!C238</f>
        <v>0</v>
      </c>
      <c r="H238" s="8" t="n">
        <f aca="false">PRODUTOS!D238</f>
        <v>0</v>
      </c>
      <c r="I238" s="9" t="str">
        <f aca="false">IF(SAIDA!F238="",SAIDA!B238,SAIDA!F238)</f>
        <v/>
      </c>
      <c r="J238" s="10" t="str">
        <f aca="false">IF(SAIDA!F238="",SAIDA!C238,SAIDA!J238)</f>
        <v/>
      </c>
      <c r="K238" s="11" t="str">
        <f aca="false">IF(SAIDA!F238="",SAIDA!D238,SAIDA!K238)</f>
        <v/>
      </c>
      <c r="L238" s="12" t="str">
        <f aca="false">IF(SAIDA!F238="",SAIDA!E238,SAIDA!L238)</f>
        <v/>
      </c>
      <c r="N238" s="7"/>
      <c r="P238" s="7"/>
    </row>
    <row r="239" customFormat="false" ht="13.5" hidden="false" customHeight="true" outlineLevel="0" collapsed="false">
      <c r="A239" s="8" t="n">
        <f aca="false">PRODUTOS!A239</f>
        <v>0</v>
      </c>
      <c r="B239" s="8" t="n">
        <f aca="false">PRODUTOS!B239</f>
        <v>0</v>
      </c>
      <c r="C239" s="7"/>
      <c r="D239" s="7"/>
      <c r="E239" s="7"/>
      <c r="F239" s="7"/>
      <c r="G239" s="8" t="n">
        <f aca="false">PRODUTOS!C239</f>
        <v>0</v>
      </c>
      <c r="H239" s="8" t="n">
        <f aca="false">PRODUTOS!D239</f>
        <v>0</v>
      </c>
      <c r="I239" s="9" t="str">
        <f aca="false">IF(SAIDA!F239="",SAIDA!B239,SAIDA!F239)</f>
        <v/>
      </c>
      <c r="J239" s="10" t="str">
        <f aca="false">IF(SAIDA!F239="",SAIDA!C239,SAIDA!J239)</f>
        <v/>
      </c>
      <c r="K239" s="11" t="str">
        <f aca="false">IF(SAIDA!F239="",SAIDA!D239,SAIDA!K239)</f>
        <v/>
      </c>
      <c r="L239" s="12" t="str">
        <f aca="false">IF(SAIDA!F239="",SAIDA!E239,SAIDA!L239)</f>
        <v/>
      </c>
      <c r="N239" s="7"/>
      <c r="P239" s="7"/>
    </row>
    <row r="240" customFormat="false" ht="13.5" hidden="false" customHeight="true" outlineLevel="0" collapsed="false">
      <c r="A240" s="8" t="n">
        <f aca="false">PRODUTOS!A240</f>
        <v>0</v>
      </c>
      <c r="B240" s="8" t="n">
        <f aca="false">PRODUTOS!B240</f>
        <v>0</v>
      </c>
      <c r="C240" s="7"/>
      <c r="D240" s="7"/>
      <c r="E240" s="7"/>
      <c r="F240" s="7"/>
      <c r="G240" s="8" t="n">
        <f aca="false">PRODUTOS!C240</f>
        <v>0</v>
      </c>
      <c r="H240" s="8" t="n">
        <f aca="false">PRODUTOS!D240</f>
        <v>0</v>
      </c>
      <c r="I240" s="9" t="str">
        <f aca="false">IF(SAIDA!F240="",SAIDA!B240,SAIDA!F240)</f>
        <v/>
      </c>
      <c r="J240" s="10" t="str">
        <f aca="false">IF(SAIDA!F240="",SAIDA!C240,SAIDA!J240)</f>
        <v/>
      </c>
      <c r="K240" s="11" t="str">
        <f aca="false">IF(SAIDA!F240="",SAIDA!D240,SAIDA!K240)</f>
        <v/>
      </c>
      <c r="L240" s="12" t="str">
        <f aca="false">IF(SAIDA!F240="",SAIDA!E240,SAIDA!L240)</f>
        <v/>
      </c>
      <c r="N240" s="7"/>
      <c r="P240" s="7"/>
    </row>
    <row r="241" customFormat="false" ht="13.5" hidden="false" customHeight="true" outlineLevel="0" collapsed="false">
      <c r="A241" s="8" t="n">
        <f aca="false">PRODUTOS!A241</f>
        <v>0</v>
      </c>
      <c r="B241" s="8" t="n">
        <f aca="false">PRODUTOS!B241</f>
        <v>0</v>
      </c>
      <c r="C241" s="7"/>
      <c r="D241" s="7"/>
      <c r="E241" s="7"/>
      <c r="F241" s="7"/>
      <c r="G241" s="8" t="n">
        <f aca="false">PRODUTOS!C241</f>
        <v>0</v>
      </c>
      <c r="H241" s="8" t="n">
        <f aca="false">PRODUTOS!D241</f>
        <v>0</v>
      </c>
      <c r="I241" s="9" t="str">
        <f aca="false">IF(SAIDA!F241="",SAIDA!B241,SAIDA!F241)</f>
        <v/>
      </c>
      <c r="J241" s="10" t="str">
        <f aca="false">IF(SAIDA!F241="",SAIDA!C241,SAIDA!J241)</f>
        <v/>
      </c>
      <c r="K241" s="11" t="str">
        <f aca="false">IF(SAIDA!F241="",SAIDA!D241,SAIDA!K241)</f>
        <v/>
      </c>
      <c r="L241" s="12" t="str">
        <f aca="false">IF(SAIDA!F241="",SAIDA!E241,SAIDA!L241)</f>
        <v/>
      </c>
      <c r="N241" s="7"/>
      <c r="P241" s="7"/>
    </row>
    <row r="242" customFormat="false" ht="13.5" hidden="false" customHeight="true" outlineLevel="0" collapsed="false">
      <c r="A242" s="8" t="n">
        <f aca="false">PRODUTOS!A242</f>
        <v>0</v>
      </c>
      <c r="B242" s="8" t="n">
        <f aca="false">PRODUTOS!B242</f>
        <v>0</v>
      </c>
      <c r="C242" s="7"/>
      <c r="D242" s="7"/>
      <c r="E242" s="7"/>
      <c r="F242" s="7"/>
      <c r="G242" s="8" t="n">
        <f aca="false">PRODUTOS!C242</f>
        <v>0</v>
      </c>
      <c r="H242" s="8" t="n">
        <f aca="false">PRODUTOS!D242</f>
        <v>0</v>
      </c>
      <c r="I242" s="9" t="str">
        <f aca="false">IF(SAIDA!F242="",SAIDA!B242,SAIDA!F242)</f>
        <v/>
      </c>
      <c r="J242" s="10" t="str">
        <f aca="false">IF(SAIDA!F242="",SAIDA!C242,SAIDA!J242)</f>
        <v/>
      </c>
      <c r="K242" s="11" t="str">
        <f aca="false">IF(SAIDA!F242="",SAIDA!D242,SAIDA!K242)</f>
        <v/>
      </c>
      <c r="L242" s="12" t="str">
        <f aca="false">IF(SAIDA!F242="",SAIDA!E242,SAIDA!L242)</f>
        <v/>
      </c>
      <c r="N242" s="7"/>
      <c r="P242" s="7"/>
    </row>
    <row r="243" customFormat="false" ht="13.5" hidden="false" customHeight="true" outlineLevel="0" collapsed="false">
      <c r="A243" s="8" t="n">
        <f aca="false">PRODUTOS!A243</f>
        <v>0</v>
      </c>
      <c r="B243" s="8" t="n">
        <f aca="false">PRODUTOS!B243</f>
        <v>0</v>
      </c>
      <c r="C243" s="7"/>
      <c r="D243" s="7"/>
      <c r="E243" s="7"/>
      <c r="F243" s="7"/>
      <c r="G243" s="8" t="n">
        <f aca="false">PRODUTOS!C243</f>
        <v>0</v>
      </c>
      <c r="H243" s="8" t="n">
        <f aca="false">PRODUTOS!D243</f>
        <v>0</v>
      </c>
      <c r="I243" s="9" t="str">
        <f aca="false">IF(SAIDA!F243="",SAIDA!B243,SAIDA!F243)</f>
        <v/>
      </c>
      <c r="J243" s="10" t="str">
        <f aca="false">IF(SAIDA!F243="",SAIDA!C243,SAIDA!J243)</f>
        <v/>
      </c>
      <c r="K243" s="11" t="str">
        <f aca="false">IF(SAIDA!F243="",SAIDA!D243,SAIDA!K243)</f>
        <v/>
      </c>
      <c r="L243" s="12" t="str">
        <f aca="false">IF(SAIDA!F243="",SAIDA!E243,SAIDA!L243)</f>
        <v/>
      </c>
      <c r="N243" s="7"/>
      <c r="P243" s="7"/>
    </row>
    <row r="244" customFormat="false" ht="13.5" hidden="false" customHeight="true" outlineLevel="0" collapsed="false">
      <c r="A244" s="8" t="n">
        <f aca="false">PRODUTOS!A244</f>
        <v>0</v>
      </c>
      <c r="B244" s="8" t="n">
        <f aca="false">PRODUTOS!B244</f>
        <v>0</v>
      </c>
      <c r="C244" s="7"/>
      <c r="D244" s="7"/>
      <c r="E244" s="7"/>
      <c r="F244" s="7"/>
      <c r="G244" s="8" t="n">
        <f aca="false">PRODUTOS!C244</f>
        <v>0</v>
      </c>
      <c r="H244" s="8" t="n">
        <f aca="false">PRODUTOS!D244</f>
        <v>0</v>
      </c>
      <c r="I244" s="9" t="str">
        <f aca="false">IF(SAIDA!F244="",SAIDA!B244,SAIDA!F244)</f>
        <v/>
      </c>
      <c r="J244" s="10" t="str">
        <f aca="false">IF(SAIDA!F244="",SAIDA!C244,SAIDA!J244)</f>
        <v/>
      </c>
      <c r="K244" s="11" t="str">
        <f aca="false">IF(SAIDA!F244="",SAIDA!D244,SAIDA!K244)</f>
        <v/>
      </c>
      <c r="L244" s="12" t="str">
        <f aca="false">IF(SAIDA!F244="",SAIDA!E244,SAIDA!L244)</f>
        <v/>
      </c>
      <c r="N244" s="7"/>
      <c r="P244" s="7"/>
    </row>
    <row r="245" customFormat="false" ht="13.5" hidden="false" customHeight="true" outlineLevel="0" collapsed="false">
      <c r="A245" s="8" t="n">
        <f aca="false">PRODUTOS!A245</f>
        <v>0</v>
      </c>
      <c r="B245" s="8" t="n">
        <f aca="false">PRODUTOS!B245</f>
        <v>0</v>
      </c>
      <c r="C245" s="7"/>
      <c r="D245" s="7"/>
      <c r="E245" s="7"/>
      <c r="F245" s="7"/>
      <c r="G245" s="8" t="n">
        <f aca="false">PRODUTOS!C245</f>
        <v>0</v>
      </c>
      <c r="H245" s="8" t="n">
        <f aca="false">PRODUTOS!D245</f>
        <v>0</v>
      </c>
      <c r="I245" s="9" t="str">
        <f aca="false">IF(SAIDA!F245="",SAIDA!B245,SAIDA!F245)</f>
        <v/>
      </c>
      <c r="J245" s="10" t="str">
        <f aca="false">IF(SAIDA!F245="",SAIDA!C245,SAIDA!J245)</f>
        <v/>
      </c>
      <c r="K245" s="11" t="str">
        <f aca="false">IF(SAIDA!F245="",SAIDA!D245,SAIDA!K245)</f>
        <v/>
      </c>
      <c r="L245" s="12" t="str">
        <f aca="false">IF(SAIDA!F245="",SAIDA!E245,SAIDA!L245)</f>
        <v/>
      </c>
      <c r="N245" s="7"/>
      <c r="P245" s="7"/>
    </row>
    <row r="246" customFormat="false" ht="13.5" hidden="false" customHeight="true" outlineLevel="0" collapsed="false">
      <c r="A246" s="8" t="n">
        <f aca="false">PRODUTOS!A246</f>
        <v>0</v>
      </c>
      <c r="B246" s="8" t="n">
        <f aca="false">PRODUTOS!B246</f>
        <v>0</v>
      </c>
      <c r="C246" s="7"/>
      <c r="D246" s="7"/>
      <c r="E246" s="7"/>
      <c r="F246" s="7"/>
      <c r="G246" s="8" t="n">
        <f aca="false">PRODUTOS!C246</f>
        <v>0</v>
      </c>
      <c r="H246" s="8" t="n">
        <f aca="false">PRODUTOS!D246</f>
        <v>0</v>
      </c>
      <c r="I246" s="9" t="str">
        <f aca="false">IF(SAIDA!F246="",SAIDA!B246,SAIDA!F246)</f>
        <v/>
      </c>
      <c r="J246" s="10" t="str">
        <f aca="false">IF(SAIDA!F246="",SAIDA!C246,SAIDA!J246)</f>
        <v/>
      </c>
      <c r="K246" s="11" t="str">
        <f aca="false">IF(SAIDA!F246="",SAIDA!D246,SAIDA!K246)</f>
        <v/>
      </c>
      <c r="L246" s="12" t="str">
        <f aca="false">IF(SAIDA!F246="",SAIDA!E246,SAIDA!L246)</f>
        <v/>
      </c>
      <c r="N246" s="7"/>
      <c r="P246" s="7"/>
    </row>
    <row r="247" customFormat="false" ht="13.5" hidden="false" customHeight="true" outlineLevel="0" collapsed="false">
      <c r="A247" s="8" t="n">
        <f aca="false">PRODUTOS!A247</f>
        <v>0</v>
      </c>
      <c r="B247" s="8" t="n">
        <f aca="false">PRODUTOS!B247</f>
        <v>0</v>
      </c>
      <c r="C247" s="7"/>
      <c r="D247" s="7"/>
      <c r="E247" s="7"/>
      <c r="F247" s="7"/>
      <c r="G247" s="8" t="n">
        <f aca="false">PRODUTOS!C247</f>
        <v>0</v>
      </c>
      <c r="H247" s="8" t="n">
        <f aca="false">PRODUTOS!D247</f>
        <v>0</v>
      </c>
      <c r="I247" s="9" t="str">
        <f aca="false">IF(SAIDA!F247="",SAIDA!B247,SAIDA!F247)</f>
        <v/>
      </c>
      <c r="J247" s="10" t="str">
        <f aca="false">IF(SAIDA!F247="",SAIDA!C247,SAIDA!J247)</f>
        <v/>
      </c>
      <c r="K247" s="11" t="str">
        <f aca="false">IF(SAIDA!F247="",SAIDA!D247,SAIDA!K247)</f>
        <v/>
      </c>
      <c r="L247" s="12" t="str">
        <f aca="false">IF(SAIDA!F247="",SAIDA!E247,SAIDA!L247)</f>
        <v/>
      </c>
      <c r="N247" s="7"/>
      <c r="P247" s="7"/>
    </row>
    <row r="248" customFormat="false" ht="13.5" hidden="false" customHeight="true" outlineLevel="0" collapsed="false">
      <c r="A248" s="8" t="n">
        <f aca="false">PRODUTOS!A248</f>
        <v>0</v>
      </c>
      <c r="B248" s="8" t="n">
        <f aca="false">PRODUTOS!B248</f>
        <v>0</v>
      </c>
      <c r="C248" s="7"/>
      <c r="D248" s="7"/>
      <c r="E248" s="7"/>
      <c r="F248" s="7"/>
      <c r="G248" s="8" t="n">
        <f aca="false">PRODUTOS!C248</f>
        <v>0</v>
      </c>
      <c r="H248" s="8" t="n">
        <f aca="false">PRODUTOS!D248</f>
        <v>0</v>
      </c>
      <c r="I248" s="9" t="str">
        <f aca="false">IF(SAIDA!F248="",SAIDA!B248,SAIDA!F248)</f>
        <v/>
      </c>
      <c r="J248" s="10" t="str">
        <f aca="false">IF(SAIDA!F248="",SAIDA!C248,SAIDA!J248)</f>
        <v/>
      </c>
      <c r="K248" s="11" t="str">
        <f aca="false">IF(SAIDA!F248="",SAIDA!D248,SAIDA!K248)</f>
        <v/>
      </c>
      <c r="L248" s="12" t="str">
        <f aca="false">IF(SAIDA!F248="",SAIDA!E248,SAIDA!L248)</f>
        <v/>
      </c>
      <c r="N248" s="7"/>
      <c r="P248" s="7"/>
    </row>
    <row r="249" customFormat="false" ht="13.5" hidden="false" customHeight="true" outlineLevel="0" collapsed="false">
      <c r="A249" s="8" t="n">
        <f aca="false">PRODUTOS!A249</f>
        <v>0</v>
      </c>
      <c r="B249" s="8" t="n">
        <f aca="false">PRODUTOS!B249</f>
        <v>0</v>
      </c>
      <c r="C249" s="7"/>
      <c r="D249" s="7"/>
      <c r="E249" s="7"/>
      <c r="F249" s="7"/>
      <c r="G249" s="8" t="n">
        <f aca="false">PRODUTOS!C249</f>
        <v>0</v>
      </c>
      <c r="H249" s="8" t="n">
        <f aca="false">PRODUTOS!D249</f>
        <v>0</v>
      </c>
      <c r="I249" s="9" t="str">
        <f aca="false">IF(SAIDA!F249="",SAIDA!B249,SAIDA!F249)</f>
        <v/>
      </c>
      <c r="J249" s="10" t="str">
        <f aca="false">IF(SAIDA!F249="",SAIDA!C249,SAIDA!J249)</f>
        <v/>
      </c>
      <c r="K249" s="11" t="str">
        <f aca="false">IF(SAIDA!F249="",SAIDA!D249,SAIDA!K249)</f>
        <v/>
      </c>
      <c r="L249" s="12" t="str">
        <f aca="false">IF(SAIDA!F249="",SAIDA!E249,SAIDA!L249)</f>
        <v/>
      </c>
      <c r="N249" s="7"/>
      <c r="P249" s="7"/>
    </row>
    <row r="250" customFormat="false" ht="13.5" hidden="false" customHeight="true" outlineLevel="0" collapsed="false">
      <c r="A250" s="8" t="n">
        <f aca="false">PRODUTOS!A250</f>
        <v>0</v>
      </c>
      <c r="B250" s="8" t="n">
        <f aca="false">PRODUTOS!B250</f>
        <v>0</v>
      </c>
      <c r="C250" s="7"/>
      <c r="D250" s="7"/>
      <c r="E250" s="7"/>
      <c r="F250" s="7"/>
      <c r="G250" s="8" t="n">
        <f aca="false">PRODUTOS!C250</f>
        <v>0</v>
      </c>
      <c r="H250" s="8" t="n">
        <f aca="false">PRODUTOS!D250</f>
        <v>0</v>
      </c>
      <c r="I250" s="9" t="str">
        <f aca="false">IF(SAIDA!F250="",SAIDA!B250,SAIDA!F250)</f>
        <v/>
      </c>
      <c r="J250" s="10" t="str">
        <f aca="false">IF(SAIDA!F250="",SAIDA!C250,SAIDA!J250)</f>
        <v/>
      </c>
      <c r="K250" s="11" t="str">
        <f aca="false">IF(SAIDA!F250="",SAIDA!D250,SAIDA!K250)</f>
        <v/>
      </c>
      <c r="L250" s="12" t="str">
        <f aca="false">IF(SAIDA!F250="",SAIDA!E250,SAIDA!L250)</f>
        <v/>
      </c>
      <c r="N250" s="7"/>
      <c r="P250" s="7"/>
    </row>
    <row r="251" customFormat="false" ht="13.5" hidden="false" customHeight="true" outlineLevel="0" collapsed="false">
      <c r="A251" s="13" t="s">
        <v>16</v>
      </c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</row>
    <row r="1048576" customFormat="false" ht="12.75" hidden="false" customHeight="true" outlineLevel="0" collapsed="false"/>
  </sheetData>
  <sheetProtection sheet="true" objects="true" scenarios="true" selectLockedCells="true"/>
  <mergeCells count="1">
    <mergeCell ref="A251:L25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 &amp;Kffffff&amp;A</oddHeader>
    <oddFooter>&amp;C&amp;"Times New Roman,Normal"&amp;12 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4" width="19.28"/>
    <col collapsed="false" customWidth="true" hidden="false" outlineLevel="0" max="2" min="2" style="14" width="14"/>
    <col collapsed="false" customWidth="true" hidden="false" outlineLevel="0" max="3" min="3" style="14" width="42"/>
    <col collapsed="false" customWidth="true" hidden="false" outlineLevel="0" max="4" min="4" style="14" width="44.4"/>
    <col collapsed="false" customWidth="false" hidden="false" outlineLevel="0" max="16384" min="5" style="15" width="8.59"/>
  </cols>
  <sheetData>
    <row r="1" customFormat="false" ht="15" hidden="false" customHeight="true" outlineLevel="0" collapsed="false">
      <c r="A1" s="16" t="s">
        <v>17</v>
      </c>
      <c r="B1" s="16" t="s">
        <v>18</v>
      </c>
      <c r="C1" s="16" t="s">
        <v>19</v>
      </c>
      <c r="D1" s="16" t="s">
        <v>20</v>
      </c>
    </row>
    <row r="2" customFormat="false" ht="15" hidden="false" customHeight="true" outlineLevel="0" collapsed="false">
      <c r="A2" s="17" t="s">
        <v>21</v>
      </c>
      <c r="B2" s="18" t="n">
        <v>0.19</v>
      </c>
      <c r="C2" s="19" t="s">
        <v>22</v>
      </c>
      <c r="D2" s="20" t="s">
        <v>23</v>
      </c>
    </row>
    <row r="3" customFormat="false" ht="15" hidden="false" customHeight="true" outlineLevel="0" collapsed="false">
      <c r="A3" s="17" t="s">
        <v>24</v>
      </c>
      <c r="B3" s="18" t="n">
        <v>0.12</v>
      </c>
      <c r="C3" s="19" t="s">
        <v>25</v>
      </c>
      <c r="D3" s="20" t="s">
        <v>26</v>
      </c>
    </row>
    <row r="4" customFormat="false" ht="15" hidden="false" customHeight="true" outlineLevel="0" collapsed="false">
      <c r="A4" s="17" t="s">
        <v>27</v>
      </c>
      <c r="B4" s="18" t="n">
        <v>0.0065</v>
      </c>
      <c r="C4" s="19" t="s">
        <v>28</v>
      </c>
      <c r="D4" s="20" t="s">
        <v>23</v>
      </c>
    </row>
    <row r="5" customFormat="false" ht="15" hidden="false" customHeight="true" outlineLevel="0" collapsed="false">
      <c r="A5" s="17" t="s">
        <v>29</v>
      </c>
      <c r="B5" s="18" t="n">
        <v>0.03</v>
      </c>
      <c r="C5" s="19" t="s">
        <v>30</v>
      </c>
      <c r="D5" s="20" t="s">
        <v>23</v>
      </c>
    </row>
    <row r="6" customFormat="false" ht="15" hidden="false" customHeight="true" outlineLevel="0" collapsed="false">
      <c r="A6" s="17" t="s">
        <v>31</v>
      </c>
      <c r="B6" s="18" t="n">
        <v>0.0211</v>
      </c>
      <c r="C6" s="19" t="s">
        <v>32</v>
      </c>
      <c r="D6" s="20" t="s">
        <v>23</v>
      </c>
    </row>
    <row r="7" customFormat="false" ht="15" hidden="false" customHeight="true" outlineLevel="0" collapsed="false">
      <c r="A7" s="17" t="s">
        <v>33</v>
      </c>
      <c r="B7" s="18" t="n">
        <v>0.0117</v>
      </c>
      <c r="C7" s="19" t="s">
        <v>34</v>
      </c>
      <c r="D7" s="20" t="s">
        <v>23</v>
      </c>
    </row>
    <row r="8" customFormat="false" ht="15" hidden="false" customHeight="true" outlineLevel="0" collapsed="false">
      <c r="A8" s="17" t="s">
        <v>35</v>
      </c>
      <c r="B8" s="18" t="n">
        <f aca="false">SUM(B4:B7)</f>
        <v>0.0693</v>
      </c>
      <c r="C8" s="19" t="s">
        <v>36</v>
      </c>
      <c r="D8" s="20" t="s">
        <v>37</v>
      </c>
    </row>
    <row r="9" customFormat="false" ht="15" hidden="false" customHeight="true" outlineLevel="0" collapsed="false">
      <c r="A9" s="17" t="s">
        <v>38</v>
      </c>
      <c r="B9" s="18" t="n">
        <f aca="false">B2+B8</f>
        <v>0.2593</v>
      </c>
      <c r="C9" s="19" t="s">
        <v>39</v>
      </c>
      <c r="D9" s="20" t="s">
        <v>37</v>
      </c>
    </row>
    <row r="10" customFormat="false" ht="15" hidden="false" customHeight="true" outlineLevel="0" collapsed="false">
      <c r="A10" s="17" t="s">
        <v>40</v>
      </c>
      <c r="B10" s="18" t="n">
        <v>0.044</v>
      </c>
      <c r="C10" s="19" t="s">
        <v>41</v>
      </c>
      <c r="D10" s="20" t="s">
        <v>42</v>
      </c>
    </row>
    <row r="11" customFormat="false" ht="15" hidden="false" customHeight="true" outlineLevel="0" collapsed="false">
      <c r="A11" s="17" t="s">
        <v>43</v>
      </c>
      <c r="B11" s="18" t="n">
        <v>0.0644</v>
      </c>
      <c r="C11" s="19" t="s">
        <v>44</v>
      </c>
      <c r="D11" s="20" t="s">
        <v>45</v>
      </c>
    </row>
    <row r="12" customFormat="false" ht="15" hidden="false" customHeight="true" outlineLevel="0" collapsed="false">
      <c r="A12" s="17" t="s">
        <v>46</v>
      </c>
      <c r="B12" s="18" t="n">
        <v>0.1084</v>
      </c>
      <c r="C12" s="19" t="s">
        <v>47</v>
      </c>
      <c r="D12" s="20" t="s">
        <v>45</v>
      </c>
    </row>
    <row r="13" customFormat="false" ht="15" hidden="false" customHeight="true" outlineLevel="0" collapsed="false">
      <c r="A13" s="17" t="s">
        <v>48</v>
      </c>
      <c r="B13" s="18" t="n">
        <v>0.3</v>
      </c>
      <c r="C13" s="19" t="s">
        <v>49</v>
      </c>
      <c r="D13" s="20" t="s">
        <v>50</v>
      </c>
    </row>
    <row r="14" customFormat="false" ht="15" hidden="false" customHeight="true" outlineLevel="0" collapsed="false">
      <c r="A14" s="17" t="s">
        <v>51</v>
      </c>
      <c r="B14" s="18" t="n">
        <v>0</v>
      </c>
      <c r="C14" s="19" t="s">
        <v>52</v>
      </c>
      <c r="D14" s="20" t="s">
        <v>53</v>
      </c>
    </row>
    <row r="15" customFormat="false" ht="15" hidden="false" customHeight="true" outlineLevel="0" collapsed="false">
      <c r="A15" s="17" t="s">
        <v>54</v>
      </c>
      <c r="B15" s="18" t="n">
        <v>0</v>
      </c>
      <c r="C15" s="19" t="s">
        <v>55</v>
      </c>
      <c r="D15" s="20" t="s">
        <v>53</v>
      </c>
    </row>
    <row r="20" customFormat="false" ht="15" hidden="false" customHeight="true" outlineLevel="0" collapsed="false">
      <c r="A20" s="21" t="s">
        <v>56</v>
      </c>
      <c r="B20" s="21"/>
      <c r="C20" s="21"/>
      <c r="D20" s="21"/>
    </row>
    <row r="21" customFormat="false" ht="15" hidden="false" customHeight="true" outlineLevel="0" collapsed="false">
      <c r="A21" s="21"/>
      <c r="B21" s="21"/>
      <c r="C21" s="21"/>
      <c r="D21" s="21"/>
    </row>
    <row r="22" customFormat="false" ht="15" hidden="false" customHeight="true" outlineLevel="0" collapsed="false">
      <c r="A22" s="21"/>
      <c r="B22" s="21"/>
      <c r="C22" s="21"/>
      <c r="D22" s="21"/>
    </row>
  </sheetData>
  <sheetProtection sheet="true" objects="true" scenarios="true"/>
  <mergeCells count="1">
    <mergeCell ref="A20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1"/>
  <sheetViews>
    <sheetView showFormulas="false" showGridLines="true" showRowColHeaders="true" showZeros="true" rightToLeft="false" tabSelected="false" showOutlineSymbols="true" defaultGridColor="true" view="normal" topLeftCell="B28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2" width="10"/>
    <col collapsed="false" customWidth="true" hidden="false" outlineLevel="0" max="2" min="2" style="22" width="26.38"/>
    <col collapsed="false" customWidth="true" hidden="false" outlineLevel="0" max="3" min="3" style="22" width="36.68"/>
    <col collapsed="false" customWidth="true" hidden="false" outlineLevel="0" max="4" min="4" style="22" width="12"/>
    <col collapsed="false" customWidth="true" hidden="false" outlineLevel="0" max="5" min="5" style="23" width="13.36"/>
    <col collapsed="false" customWidth="true" hidden="false" outlineLevel="0" max="6" min="6" style="22" width="16.33"/>
    <col collapsed="false" customWidth="false" hidden="false" outlineLevel="0" max="16384" min="7" style="15" width="8.59"/>
  </cols>
  <sheetData>
    <row r="1" customFormat="false" ht="15" hidden="false" customHeight="true" outlineLevel="0" collapsed="false">
      <c r="A1" s="24" t="s">
        <v>0</v>
      </c>
      <c r="B1" s="24" t="s">
        <v>1</v>
      </c>
      <c r="C1" s="24" t="s">
        <v>6</v>
      </c>
      <c r="D1" s="24" t="s">
        <v>7</v>
      </c>
      <c r="E1" s="25" t="s">
        <v>57</v>
      </c>
      <c r="F1" s="24" t="s">
        <v>58</v>
      </c>
    </row>
    <row r="2" customFormat="false" ht="15" hidden="false" customHeight="true" outlineLevel="0" collapsed="false">
      <c r="A2" s="26" t="n">
        <v>26482</v>
      </c>
      <c r="B2" s="26" t="s">
        <v>59</v>
      </c>
      <c r="C2" s="26" t="s">
        <v>60</v>
      </c>
      <c r="D2" s="26" t="s">
        <v>61</v>
      </c>
      <c r="E2" s="27" t="n">
        <v>2033</v>
      </c>
      <c r="F2" s="28" t="n">
        <v>0.3</v>
      </c>
      <c r="H2" s="21" t="s">
        <v>62</v>
      </c>
      <c r="I2" s="21"/>
      <c r="J2" s="21"/>
      <c r="K2" s="21"/>
      <c r="L2" s="21"/>
      <c r="M2" s="21"/>
      <c r="N2" s="21"/>
      <c r="O2" s="21"/>
      <c r="P2" s="21"/>
      <c r="Q2" s="21"/>
    </row>
    <row r="3" customFormat="false" ht="15" hidden="false" customHeight="true" outlineLevel="0" collapsed="false">
      <c r="A3" s="26" t="n">
        <v>26483</v>
      </c>
      <c r="B3" s="26" t="s">
        <v>63</v>
      </c>
      <c r="C3" s="26" t="s">
        <v>64</v>
      </c>
      <c r="D3" s="26" t="s">
        <v>61</v>
      </c>
      <c r="E3" s="29"/>
      <c r="F3" s="28" t="n">
        <v>0.3</v>
      </c>
      <c r="H3" s="21"/>
      <c r="I3" s="21"/>
      <c r="J3" s="21"/>
      <c r="K3" s="21"/>
      <c r="L3" s="21"/>
      <c r="M3" s="21"/>
      <c r="N3" s="21"/>
      <c r="O3" s="21"/>
      <c r="P3" s="21"/>
      <c r="Q3" s="21"/>
    </row>
    <row r="4" customFormat="false" ht="15" hidden="false" customHeight="true" outlineLevel="0" collapsed="false">
      <c r="A4" s="26" t="n">
        <v>26080</v>
      </c>
      <c r="B4" s="26" t="s">
        <v>65</v>
      </c>
      <c r="C4" s="26" t="s">
        <v>60</v>
      </c>
      <c r="D4" s="26" t="s">
        <v>61</v>
      </c>
      <c r="E4" s="27" t="n">
        <v>2359</v>
      </c>
      <c r="F4" s="28" t="n">
        <v>0.3</v>
      </c>
      <c r="H4" s="21"/>
      <c r="I4" s="21"/>
      <c r="J4" s="21"/>
      <c r="K4" s="21"/>
      <c r="L4" s="21"/>
      <c r="M4" s="21"/>
      <c r="N4" s="21"/>
      <c r="O4" s="21"/>
      <c r="P4" s="21"/>
      <c r="Q4" s="21"/>
    </row>
    <row r="5" customFormat="false" ht="15" hidden="false" customHeight="true" outlineLevel="0" collapsed="false">
      <c r="A5" s="26" t="n">
        <v>26081</v>
      </c>
      <c r="B5" s="26" t="s">
        <v>66</v>
      </c>
      <c r="C5" s="26" t="s">
        <v>64</v>
      </c>
      <c r="D5" s="26" t="s">
        <v>61</v>
      </c>
      <c r="E5" s="29"/>
      <c r="F5" s="28" t="n">
        <v>0.3</v>
      </c>
      <c r="H5" s="21"/>
      <c r="I5" s="21"/>
      <c r="J5" s="21"/>
      <c r="K5" s="21"/>
      <c r="L5" s="21"/>
      <c r="M5" s="21"/>
      <c r="N5" s="21"/>
      <c r="O5" s="21"/>
      <c r="P5" s="21"/>
      <c r="Q5" s="21"/>
    </row>
    <row r="6" customFormat="false" ht="15" hidden="false" customHeight="true" outlineLevel="0" collapsed="false">
      <c r="A6" s="26" t="n">
        <v>26471</v>
      </c>
      <c r="B6" s="26" t="s">
        <v>67</v>
      </c>
      <c r="C6" s="26" t="s">
        <v>60</v>
      </c>
      <c r="D6" s="26" t="s">
        <v>61</v>
      </c>
      <c r="E6" s="27" t="n">
        <v>3281</v>
      </c>
      <c r="F6" s="28" t="n">
        <v>0.3</v>
      </c>
      <c r="H6" s="21"/>
      <c r="I6" s="21"/>
      <c r="J6" s="21"/>
      <c r="K6" s="21"/>
      <c r="L6" s="21"/>
      <c r="M6" s="21"/>
      <c r="N6" s="21"/>
      <c r="O6" s="21"/>
      <c r="P6" s="21"/>
      <c r="Q6" s="21"/>
    </row>
    <row r="7" customFormat="false" ht="15" hidden="false" customHeight="true" outlineLevel="0" collapsed="false">
      <c r="A7" s="26" t="n">
        <v>26472</v>
      </c>
      <c r="B7" s="26" t="s">
        <v>67</v>
      </c>
      <c r="C7" s="26" t="s">
        <v>64</v>
      </c>
      <c r="D7" s="26" t="s">
        <v>61</v>
      </c>
      <c r="E7" s="29"/>
      <c r="F7" s="28" t="n">
        <v>0.3</v>
      </c>
    </row>
    <row r="8" customFormat="false" ht="15" hidden="false" customHeight="true" outlineLevel="0" collapsed="false">
      <c r="A8" s="26" t="n">
        <v>26821</v>
      </c>
      <c r="B8" s="30" t="s">
        <v>68</v>
      </c>
      <c r="C8" s="26" t="s">
        <v>69</v>
      </c>
      <c r="D8" s="26" t="s">
        <v>61</v>
      </c>
      <c r="E8" s="29" t="n">
        <v>1947</v>
      </c>
      <c r="F8" s="28" t="n">
        <v>0.3</v>
      </c>
    </row>
    <row r="9" customFormat="false" ht="15" hidden="false" customHeight="true" outlineLevel="0" collapsed="false">
      <c r="A9" s="26" t="n">
        <v>27124</v>
      </c>
      <c r="B9" s="30" t="s">
        <v>70</v>
      </c>
      <c r="C9" s="26" t="s">
        <v>71</v>
      </c>
      <c r="D9" s="26" t="s">
        <v>61</v>
      </c>
      <c r="E9" s="29"/>
      <c r="F9" s="28" t="n">
        <v>0.3</v>
      </c>
    </row>
    <row r="10" customFormat="false" ht="15" hidden="false" customHeight="true" outlineLevel="0" collapsed="false">
      <c r="A10" s="26" t="n">
        <v>25812</v>
      </c>
      <c r="B10" s="30" t="s">
        <v>72</v>
      </c>
      <c r="C10" s="26" t="s">
        <v>73</v>
      </c>
      <c r="D10" s="26" t="s">
        <v>61</v>
      </c>
      <c r="E10" s="27" t="n">
        <v>1674</v>
      </c>
      <c r="F10" s="28" t="n">
        <v>0.3</v>
      </c>
    </row>
    <row r="11" customFormat="false" ht="15" hidden="false" customHeight="true" outlineLevel="0" collapsed="false">
      <c r="A11" s="26" t="n">
        <v>25808</v>
      </c>
      <c r="B11" s="30" t="s">
        <v>74</v>
      </c>
      <c r="C11" s="26" t="s">
        <v>75</v>
      </c>
      <c r="D11" s="26" t="s">
        <v>61</v>
      </c>
      <c r="E11" s="29"/>
      <c r="F11" s="28" t="n">
        <v>0.3</v>
      </c>
    </row>
    <row r="12" customFormat="false" ht="15" hidden="false" customHeight="true" outlineLevel="0" collapsed="false">
      <c r="A12" s="30" t="n">
        <v>25595</v>
      </c>
      <c r="B12" s="30" t="s">
        <v>76</v>
      </c>
      <c r="C12" s="30" t="s">
        <v>73</v>
      </c>
      <c r="D12" s="26" t="s">
        <v>61</v>
      </c>
      <c r="E12" s="31" t="n">
        <v>2845</v>
      </c>
      <c r="F12" s="28" t="n">
        <v>0.3</v>
      </c>
    </row>
    <row r="13" customFormat="false" ht="15" hidden="false" customHeight="true" outlineLevel="0" collapsed="false">
      <c r="A13" s="30" t="n">
        <v>25594</v>
      </c>
      <c r="B13" s="30" t="s">
        <v>77</v>
      </c>
      <c r="C13" s="30" t="s">
        <v>75</v>
      </c>
      <c r="D13" s="26" t="s">
        <v>61</v>
      </c>
      <c r="E13" s="32"/>
      <c r="F13" s="28" t="n">
        <v>0.3</v>
      </c>
    </row>
    <row r="14" customFormat="false" ht="15" hidden="false" customHeight="true" outlineLevel="0" collapsed="false">
      <c r="A14" s="30" t="n">
        <v>25597</v>
      </c>
      <c r="B14" s="30" t="s">
        <v>78</v>
      </c>
      <c r="C14" s="30" t="s">
        <v>73</v>
      </c>
      <c r="D14" s="26" t="s">
        <v>61</v>
      </c>
      <c r="E14" s="31" t="n">
        <v>3596</v>
      </c>
      <c r="F14" s="28" t="n">
        <v>0.3</v>
      </c>
    </row>
    <row r="15" customFormat="false" ht="15" hidden="false" customHeight="true" outlineLevel="0" collapsed="false">
      <c r="A15" s="30" t="n">
        <v>25596</v>
      </c>
      <c r="B15" s="30" t="s">
        <v>79</v>
      </c>
      <c r="C15" s="30" t="s">
        <v>75</v>
      </c>
      <c r="D15" s="26" t="s">
        <v>61</v>
      </c>
      <c r="E15" s="32"/>
      <c r="F15" s="28" t="n">
        <v>0.3</v>
      </c>
    </row>
    <row r="16" customFormat="false" ht="15" hidden="false" customHeight="true" outlineLevel="0" collapsed="false">
      <c r="A16" s="30" t="n">
        <v>25872</v>
      </c>
      <c r="B16" s="30" t="s">
        <v>80</v>
      </c>
      <c r="C16" s="30" t="s">
        <v>73</v>
      </c>
      <c r="D16" s="26" t="s">
        <v>61</v>
      </c>
      <c r="E16" s="31" t="n">
        <v>5222</v>
      </c>
      <c r="F16" s="28" t="n">
        <v>0.3</v>
      </c>
    </row>
    <row r="17" customFormat="false" ht="15" hidden="false" customHeight="true" outlineLevel="0" collapsed="false">
      <c r="A17" s="30" t="n">
        <v>25871</v>
      </c>
      <c r="B17" s="30" t="s">
        <v>81</v>
      </c>
      <c r="C17" s="30" t="s">
        <v>82</v>
      </c>
      <c r="D17" s="26" t="s">
        <v>61</v>
      </c>
      <c r="E17" s="32"/>
      <c r="F17" s="28" t="n">
        <v>0.3</v>
      </c>
    </row>
    <row r="18" customFormat="false" ht="15" hidden="false" customHeight="true" outlineLevel="0" collapsed="false">
      <c r="A18" s="30" t="n">
        <v>25724</v>
      </c>
      <c r="B18" s="30" t="s">
        <v>83</v>
      </c>
      <c r="C18" s="30" t="s">
        <v>84</v>
      </c>
      <c r="D18" s="26" t="s">
        <v>61</v>
      </c>
      <c r="E18" s="31" t="n">
        <v>5639</v>
      </c>
      <c r="F18" s="28" t="n">
        <v>0.3</v>
      </c>
    </row>
    <row r="19" customFormat="false" ht="15" hidden="false" customHeight="true" outlineLevel="0" collapsed="false">
      <c r="A19" s="30" t="n">
        <v>25723</v>
      </c>
      <c r="B19" s="30" t="s">
        <v>85</v>
      </c>
      <c r="C19" s="30" t="s">
        <v>82</v>
      </c>
      <c r="D19" s="26" t="s">
        <v>61</v>
      </c>
      <c r="E19" s="32"/>
      <c r="F19" s="28" t="n">
        <v>0.3</v>
      </c>
    </row>
    <row r="20" customFormat="false" ht="15" hidden="false" customHeight="true" outlineLevel="0" collapsed="false">
      <c r="A20" s="30" t="n">
        <v>25928</v>
      </c>
      <c r="B20" s="30" t="s">
        <v>86</v>
      </c>
      <c r="C20" s="30" t="s">
        <v>84</v>
      </c>
      <c r="D20" s="26" t="s">
        <v>61</v>
      </c>
      <c r="E20" s="31" t="n">
        <v>7561</v>
      </c>
      <c r="F20" s="28" t="n">
        <v>0.3</v>
      </c>
    </row>
    <row r="21" customFormat="false" ht="15" hidden="false" customHeight="true" outlineLevel="0" collapsed="false">
      <c r="A21" s="30" t="n">
        <v>25927</v>
      </c>
      <c r="B21" s="30" t="s">
        <v>87</v>
      </c>
      <c r="C21" s="30" t="s">
        <v>82</v>
      </c>
      <c r="D21" s="26" t="s">
        <v>61</v>
      </c>
      <c r="E21" s="32"/>
      <c r="F21" s="28" t="n">
        <v>0.3</v>
      </c>
    </row>
    <row r="22" customFormat="false" ht="15" hidden="false" customHeight="true" outlineLevel="0" collapsed="false">
      <c r="A22" s="30" t="n">
        <v>27098</v>
      </c>
      <c r="B22" s="30" t="s">
        <v>88</v>
      </c>
      <c r="C22" s="30" t="s">
        <v>89</v>
      </c>
      <c r="D22" s="26" t="s">
        <v>61</v>
      </c>
      <c r="E22" s="31" t="n">
        <v>0</v>
      </c>
      <c r="F22" s="28" t="n">
        <v>0.3</v>
      </c>
    </row>
    <row r="23" customFormat="false" ht="15" hidden="false" customHeight="true" outlineLevel="0" collapsed="false">
      <c r="A23" s="30" t="n">
        <v>27099</v>
      </c>
      <c r="B23" s="30" t="s">
        <v>90</v>
      </c>
      <c r="C23" s="30" t="s">
        <v>82</v>
      </c>
      <c r="D23" s="26" t="s">
        <v>61</v>
      </c>
      <c r="E23" s="32"/>
      <c r="F23" s="28" t="n">
        <v>0.3</v>
      </c>
    </row>
    <row r="24" customFormat="false" ht="15" hidden="false" customHeight="true" outlineLevel="0" collapsed="false">
      <c r="A24" s="30" t="n">
        <v>26882</v>
      </c>
      <c r="B24" s="30" t="s">
        <v>91</v>
      </c>
      <c r="C24" s="30" t="s">
        <v>92</v>
      </c>
      <c r="D24" s="26" t="s">
        <v>61</v>
      </c>
      <c r="E24" s="31" t="n">
        <v>0</v>
      </c>
      <c r="F24" s="28" t="n">
        <v>0.3</v>
      </c>
    </row>
    <row r="25" customFormat="false" ht="15" hidden="false" customHeight="true" outlineLevel="0" collapsed="false">
      <c r="A25" s="30" t="n">
        <v>26881</v>
      </c>
      <c r="B25" s="30" t="s">
        <v>93</v>
      </c>
      <c r="C25" s="30" t="s">
        <v>94</v>
      </c>
      <c r="D25" s="26" t="s">
        <v>61</v>
      </c>
      <c r="E25" s="32"/>
      <c r="F25" s="28" t="n">
        <v>0.3</v>
      </c>
    </row>
    <row r="26" customFormat="false" ht="15" hidden="false" customHeight="true" outlineLevel="0" collapsed="false">
      <c r="A26" s="30" t="n">
        <v>26834</v>
      </c>
      <c r="B26" s="30" t="s">
        <v>95</v>
      </c>
      <c r="C26" s="30" t="s">
        <v>96</v>
      </c>
      <c r="D26" s="26" t="s">
        <v>61</v>
      </c>
      <c r="E26" s="31"/>
      <c r="F26" s="28" t="n">
        <v>0.3</v>
      </c>
    </row>
    <row r="27" customFormat="false" ht="15" hidden="false" customHeight="true" outlineLevel="0" collapsed="false">
      <c r="A27" s="30" t="n">
        <v>26890</v>
      </c>
      <c r="B27" s="30" t="s">
        <v>97</v>
      </c>
      <c r="C27" s="30" t="s">
        <v>92</v>
      </c>
      <c r="D27" s="26" t="s">
        <v>61</v>
      </c>
      <c r="E27" s="32" t="n">
        <v>0</v>
      </c>
      <c r="F27" s="28" t="n">
        <v>0.3</v>
      </c>
    </row>
    <row r="28" customFormat="false" ht="15" hidden="false" customHeight="true" outlineLevel="0" collapsed="false">
      <c r="A28" s="30" t="n">
        <v>26891</v>
      </c>
      <c r="B28" s="30" t="s">
        <v>98</v>
      </c>
      <c r="C28" s="30" t="s">
        <v>94</v>
      </c>
      <c r="D28" s="26" t="s">
        <v>61</v>
      </c>
      <c r="E28" s="31"/>
      <c r="F28" s="28" t="n">
        <v>0.3</v>
      </c>
    </row>
    <row r="29" customFormat="false" ht="15" hidden="false" customHeight="true" outlineLevel="0" collapsed="false">
      <c r="A29" s="30" t="n">
        <v>26834</v>
      </c>
      <c r="B29" s="30" t="s">
        <v>95</v>
      </c>
      <c r="C29" s="30" t="s">
        <v>96</v>
      </c>
      <c r="D29" s="26" t="s">
        <v>61</v>
      </c>
      <c r="E29" s="32"/>
      <c r="F29" s="28" t="n">
        <v>0.3</v>
      </c>
    </row>
    <row r="30" customFormat="false" ht="15" hidden="false" customHeight="true" outlineLevel="0" collapsed="false">
      <c r="A30" s="30" t="n">
        <v>26892</v>
      </c>
      <c r="B30" s="30" t="s">
        <v>99</v>
      </c>
      <c r="C30" s="30" t="s">
        <v>92</v>
      </c>
      <c r="D30" s="26" t="s">
        <v>61</v>
      </c>
      <c r="E30" s="32" t="n">
        <v>0</v>
      </c>
      <c r="F30" s="28" t="n">
        <v>0.3</v>
      </c>
    </row>
    <row r="31" customFormat="false" ht="15" hidden="false" customHeight="true" outlineLevel="0" collapsed="false">
      <c r="A31" s="30" t="n">
        <v>26893</v>
      </c>
      <c r="B31" s="30" t="s">
        <v>100</v>
      </c>
      <c r="C31" s="30" t="s">
        <v>94</v>
      </c>
      <c r="D31" s="26" t="s">
        <v>61</v>
      </c>
      <c r="E31" s="31"/>
      <c r="F31" s="28" t="n">
        <v>0.3</v>
      </c>
    </row>
    <row r="32" customFormat="false" ht="15" hidden="false" customHeight="true" outlineLevel="0" collapsed="false">
      <c r="A32" s="30" t="n">
        <v>26834</v>
      </c>
      <c r="B32" s="30" t="s">
        <v>95</v>
      </c>
      <c r="C32" s="30" t="s">
        <v>96</v>
      </c>
      <c r="D32" s="26" t="s">
        <v>61</v>
      </c>
      <c r="E32" s="32"/>
      <c r="F32" s="28" t="n">
        <v>0.3</v>
      </c>
    </row>
    <row r="33" customFormat="false" ht="15" hidden="false" customHeight="true" outlineLevel="0" collapsed="false">
      <c r="A33" s="30" t="n">
        <v>25721</v>
      </c>
      <c r="B33" s="30" t="s">
        <v>101</v>
      </c>
      <c r="C33" s="30" t="s">
        <v>102</v>
      </c>
      <c r="D33" s="26" t="s">
        <v>61</v>
      </c>
      <c r="E33" s="32" t="n">
        <v>4519</v>
      </c>
      <c r="F33" s="28" t="n">
        <v>0.3</v>
      </c>
    </row>
    <row r="34" customFormat="false" ht="15" hidden="false" customHeight="true" outlineLevel="0" collapsed="false">
      <c r="A34" s="30" t="n">
        <v>25720</v>
      </c>
      <c r="B34" s="30" t="s">
        <v>103</v>
      </c>
      <c r="C34" s="30" t="s">
        <v>104</v>
      </c>
      <c r="D34" s="26" t="s">
        <v>61</v>
      </c>
      <c r="E34" s="31"/>
      <c r="F34" s="28" t="n">
        <v>0.3</v>
      </c>
    </row>
    <row r="35" customFormat="false" ht="15" hidden="false" customHeight="true" outlineLevel="0" collapsed="false">
      <c r="A35" s="30" t="n">
        <v>25722</v>
      </c>
      <c r="B35" s="30" t="s">
        <v>105</v>
      </c>
      <c r="C35" s="30"/>
      <c r="D35" s="26" t="s">
        <v>61</v>
      </c>
      <c r="E35" s="32"/>
      <c r="F35" s="28" t="n">
        <v>0.3</v>
      </c>
    </row>
    <row r="36" customFormat="false" ht="15" hidden="false" customHeight="true" outlineLevel="0" collapsed="false">
      <c r="A36" s="30" t="n">
        <v>25937</v>
      </c>
      <c r="B36" s="30" t="s">
        <v>101</v>
      </c>
      <c r="C36" s="30" t="s">
        <v>106</v>
      </c>
      <c r="D36" s="26" t="s">
        <v>61</v>
      </c>
      <c r="E36" s="32" t="n">
        <v>4519</v>
      </c>
      <c r="F36" s="28" t="n">
        <v>0.3</v>
      </c>
    </row>
    <row r="37" customFormat="false" ht="15" hidden="false" customHeight="true" outlineLevel="0" collapsed="false">
      <c r="A37" s="30" t="n">
        <v>25936</v>
      </c>
      <c r="B37" s="30" t="s">
        <v>103</v>
      </c>
      <c r="C37" s="30" t="s">
        <v>104</v>
      </c>
      <c r="D37" s="26" t="s">
        <v>61</v>
      </c>
      <c r="E37" s="31"/>
      <c r="F37" s="28" t="n">
        <v>0.3</v>
      </c>
    </row>
    <row r="38" customFormat="false" ht="15" hidden="false" customHeight="true" outlineLevel="0" collapsed="false">
      <c r="A38" s="30" t="n">
        <v>25938</v>
      </c>
      <c r="B38" s="30" t="s">
        <v>107</v>
      </c>
      <c r="C38" s="30"/>
      <c r="D38" s="26" t="s">
        <v>61</v>
      </c>
      <c r="E38" s="32"/>
      <c r="F38" s="28" t="n">
        <v>0.3</v>
      </c>
    </row>
    <row r="39" customFormat="false" ht="15" hidden="false" customHeight="true" outlineLevel="0" collapsed="false">
      <c r="A39" s="30" t="n">
        <v>25930</v>
      </c>
      <c r="B39" s="30" t="s">
        <v>83</v>
      </c>
      <c r="C39" s="28" t="s">
        <v>106</v>
      </c>
      <c r="D39" s="26" t="s">
        <v>61</v>
      </c>
      <c r="E39" s="23" t="n">
        <v>6981</v>
      </c>
      <c r="F39" s="28" t="n">
        <v>0.3</v>
      </c>
    </row>
    <row r="40" customFormat="false" ht="15" hidden="false" customHeight="true" outlineLevel="0" collapsed="false">
      <c r="A40" s="30" t="n">
        <v>25929</v>
      </c>
      <c r="B40" s="30" t="s">
        <v>108</v>
      </c>
      <c r="C40" s="30" t="s">
        <v>104</v>
      </c>
      <c r="D40" s="26" t="s">
        <v>61</v>
      </c>
      <c r="E40" s="31"/>
      <c r="F40" s="28" t="n">
        <v>0.3</v>
      </c>
    </row>
    <row r="41" customFormat="false" ht="15" hidden="false" customHeight="true" outlineLevel="0" collapsed="false">
      <c r="A41" s="30" t="n">
        <v>25931</v>
      </c>
      <c r="B41" s="30" t="s">
        <v>109</v>
      </c>
      <c r="C41" s="30"/>
      <c r="D41" s="26" t="s">
        <v>61</v>
      </c>
      <c r="E41" s="31"/>
      <c r="F41" s="28" t="n">
        <v>0.3</v>
      </c>
    </row>
    <row r="42" customFormat="false" ht="15" hidden="false" customHeight="true" outlineLevel="0" collapsed="false">
      <c r="A42" s="30" t="n">
        <v>25924</v>
      </c>
      <c r="B42" s="30" t="s">
        <v>86</v>
      </c>
      <c r="C42" s="28" t="s">
        <v>106</v>
      </c>
      <c r="D42" s="26" t="s">
        <v>61</v>
      </c>
      <c r="E42" s="23" t="n">
        <v>837.72</v>
      </c>
      <c r="F42" s="28" t="n">
        <v>0.3</v>
      </c>
    </row>
    <row r="43" customFormat="false" ht="15" hidden="false" customHeight="true" outlineLevel="0" collapsed="false">
      <c r="A43" s="30" t="n">
        <v>25923</v>
      </c>
      <c r="B43" s="30" t="s">
        <v>110</v>
      </c>
      <c r="C43" s="30" t="s">
        <v>104</v>
      </c>
      <c r="D43" s="26" t="s">
        <v>61</v>
      </c>
      <c r="E43" s="31"/>
      <c r="F43" s="28" t="n">
        <v>0.3</v>
      </c>
    </row>
    <row r="44" customFormat="false" ht="15" hidden="false" customHeight="true" outlineLevel="0" collapsed="false">
      <c r="A44" s="30" t="n">
        <v>25925</v>
      </c>
      <c r="B44" s="30" t="s">
        <v>111</v>
      </c>
      <c r="C44" s="30"/>
      <c r="D44" s="26" t="s">
        <v>61</v>
      </c>
      <c r="E44" s="31"/>
      <c r="F44" s="28" t="n">
        <v>0.3</v>
      </c>
    </row>
    <row r="45" customFormat="false" ht="15" hidden="false" customHeight="true" outlineLevel="0" collapsed="false">
      <c r="A45" s="30" t="n">
        <v>23392</v>
      </c>
      <c r="B45" s="30" t="s">
        <v>112</v>
      </c>
      <c r="C45" s="28" t="s">
        <v>113</v>
      </c>
      <c r="D45" s="26" t="s">
        <v>61</v>
      </c>
      <c r="E45" s="23" t="n">
        <v>0</v>
      </c>
      <c r="F45" s="28" t="n">
        <v>0.3</v>
      </c>
    </row>
    <row r="46" customFormat="false" ht="15" hidden="false" customHeight="true" outlineLevel="0" collapsed="false">
      <c r="A46" s="30" t="n">
        <v>23391</v>
      </c>
      <c r="B46" s="30" t="s">
        <v>114</v>
      </c>
      <c r="C46" s="30"/>
      <c r="D46" s="26" t="s">
        <v>61</v>
      </c>
      <c r="E46" s="31"/>
      <c r="F46" s="28" t="n">
        <v>0.3</v>
      </c>
    </row>
    <row r="47" customFormat="false" ht="15" hidden="false" customHeight="true" outlineLevel="0" collapsed="false">
      <c r="A47" s="30"/>
      <c r="B47" s="30"/>
      <c r="C47" s="30"/>
      <c r="D47" s="30"/>
      <c r="E47" s="31"/>
      <c r="F47" s="28" t="n">
        <v>0.3</v>
      </c>
    </row>
    <row r="48" customFormat="false" ht="15" hidden="false" customHeight="true" outlineLevel="0" collapsed="false">
      <c r="A48" s="30"/>
      <c r="B48" s="30"/>
      <c r="C48" s="28"/>
      <c r="D48" s="30"/>
      <c r="E48" s="31"/>
      <c r="F48" s="28" t="n">
        <v>0.3</v>
      </c>
    </row>
    <row r="49" customFormat="false" ht="15" hidden="false" customHeight="true" outlineLevel="0" collapsed="false">
      <c r="A49" s="30"/>
      <c r="B49" s="30"/>
      <c r="C49" s="30"/>
      <c r="D49" s="30"/>
      <c r="E49" s="31"/>
      <c r="F49" s="28" t="n">
        <v>0.3</v>
      </c>
    </row>
    <row r="50" customFormat="false" ht="15" hidden="false" customHeight="true" outlineLevel="0" collapsed="false">
      <c r="A50" s="30"/>
      <c r="B50" s="30"/>
      <c r="C50" s="28"/>
      <c r="D50" s="30"/>
      <c r="E50" s="31"/>
      <c r="F50" s="28" t="n">
        <v>0.3</v>
      </c>
    </row>
    <row r="51" customFormat="false" ht="15" hidden="false" customHeight="true" outlineLevel="0" collapsed="false">
      <c r="A51" s="28"/>
      <c r="B51" s="28"/>
      <c r="C51" s="28"/>
      <c r="D51" s="28"/>
      <c r="E51" s="31"/>
      <c r="F51" s="28" t="n">
        <v>0.3</v>
      </c>
    </row>
    <row r="52" customFormat="false" ht="15" hidden="false" customHeight="true" outlineLevel="0" collapsed="false">
      <c r="A52" s="28"/>
      <c r="B52" s="28"/>
      <c r="C52" s="28"/>
      <c r="D52" s="28"/>
      <c r="E52" s="31"/>
      <c r="F52" s="28" t="n">
        <v>0.3</v>
      </c>
    </row>
    <row r="53" customFormat="false" ht="15" hidden="false" customHeight="true" outlineLevel="0" collapsed="false">
      <c r="A53" s="28"/>
      <c r="B53" s="28"/>
      <c r="C53" s="28"/>
      <c r="D53" s="28"/>
      <c r="E53" s="31"/>
      <c r="F53" s="28" t="n">
        <v>0.3</v>
      </c>
    </row>
    <row r="54" customFormat="false" ht="15" hidden="false" customHeight="true" outlineLevel="0" collapsed="false">
      <c r="A54" s="28"/>
      <c r="B54" s="28"/>
      <c r="C54" s="28"/>
      <c r="D54" s="28"/>
      <c r="E54" s="31"/>
      <c r="F54" s="28" t="n">
        <v>0.3</v>
      </c>
    </row>
    <row r="55" customFormat="false" ht="15" hidden="false" customHeight="true" outlineLevel="0" collapsed="false">
      <c r="A55" s="28"/>
      <c r="B55" s="28"/>
      <c r="C55" s="28"/>
      <c r="D55" s="28"/>
      <c r="E55" s="31"/>
      <c r="F55" s="28" t="n">
        <v>0.3</v>
      </c>
    </row>
    <row r="56" customFormat="false" ht="15" hidden="false" customHeight="true" outlineLevel="0" collapsed="false">
      <c r="A56" s="28"/>
      <c r="B56" s="28"/>
      <c r="C56" s="28"/>
      <c r="D56" s="28"/>
      <c r="E56" s="31"/>
      <c r="F56" s="28" t="n">
        <v>0.3</v>
      </c>
    </row>
    <row r="57" customFormat="false" ht="15" hidden="false" customHeight="true" outlineLevel="0" collapsed="false">
      <c r="A57" s="28"/>
      <c r="B57" s="28"/>
      <c r="C57" s="28"/>
      <c r="D57" s="28"/>
      <c r="E57" s="31"/>
      <c r="F57" s="28" t="n">
        <v>0.3</v>
      </c>
    </row>
    <row r="58" customFormat="false" ht="15" hidden="false" customHeight="true" outlineLevel="0" collapsed="false">
      <c r="A58" s="28"/>
      <c r="B58" s="28"/>
      <c r="C58" s="28"/>
      <c r="D58" s="28"/>
      <c r="E58" s="31"/>
      <c r="F58" s="28" t="n">
        <v>0.3</v>
      </c>
    </row>
    <row r="59" customFormat="false" ht="15" hidden="false" customHeight="true" outlineLevel="0" collapsed="false">
      <c r="A59" s="28"/>
      <c r="B59" s="28"/>
      <c r="C59" s="28"/>
      <c r="D59" s="28"/>
      <c r="E59" s="31"/>
      <c r="F59" s="28" t="n">
        <v>0.3</v>
      </c>
    </row>
    <row r="60" customFormat="false" ht="15" hidden="false" customHeight="true" outlineLevel="0" collapsed="false">
      <c r="A60" s="28"/>
      <c r="B60" s="28"/>
      <c r="C60" s="28"/>
      <c r="D60" s="28"/>
      <c r="E60" s="31"/>
      <c r="F60" s="28" t="n">
        <v>0.3</v>
      </c>
    </row>
    <row r="61" customFormat="false" ht="15" hidden="false" customHeight="true" outlineLevel="0" collapsed="false">
      <c r="A61" s="28"/>
      <c r="B61" s="28"/>
      <c r="C61" s="28"/>
      <c r="D61" s="28"/>
      <c r="E61" s="31"/>
      <c r="F61" s="28" t="n">
        <v>0.3</v>
      </c>
    </row>
    <row r="62" customFormat="false" ht="15" hidden="false" customHeight="true" outlineLevel="0" collapsed="false">
      <c r="A62" s="28"/>
      <c r="B62" s="28"/>
      <c r="C62" s="28"/>
      <c r="D62" s="28"/>
      <c r="E62" s="31"/>
      <c r="F62" s="28" t="n">
        <v>0.3</v>
      </c>
    </row>
    <row r="63" customFormat="false" ht="15" hidden="false" customHeight="true" outlineLevel="0" collapsed="false">
      <c r="A63" s="28"/>
      <c r="B63" s="28"/>
      <c r="C63" s="28"/>
      <c r="D63" s="28"/>
      <c r="E63" s="31"/>
      <c r="F63" s="28" t="n">
        <v>0.3</v>
      </c>
    </row>
    <row r="64" customFormat="false" ht="15" hidden="false" customHeight="true" outlineLevel="0" collapsed="false">
      <c r="A64" s="28"/>
      <c r="B64" s="28"/>
      <c r="C64" s="28"/>
      <c r="D64" s="28"/>
      <c r="E64" s="31"/>
      <c r="F64" s="28" t="n">
        <v>0.3</v>
      </c>
    </row>
    <row r="65" customFormat="false" ht="15" hidden="false" customHeight="true" outlineLevel="0" collapsed="false">
      <c r="A65" s="28"/>
      <c r="B65" s="28"/>
      <c r="C65" s="28"/>
      <c r="D65" s="28"/>
      <c r="E65" s="31"/>
      <c r="F65" s="28" t="n">
        <v>0.3</v>
      </c>
    </row>
    <row r="66" customFormat="false" ht="15" hidden="false" customHeight="true" outlineLevel="0" collapsed="false">
      <c r="A66" s="28"/>
      <c r="B66" s="28"/>
      <c r="C66" s="28"/>
      <c r="D66" s="28"/>
      <c r="E66" s="31"/>
      <c r="F66" s="28" t="n">
        <v>0.3</v>
      </c>
    </row>
    <row r="67" customFormat="false" ht="15" hidden="false" customHeight="true" outlineLevel="0" collapsed="false">
      <c r="A67" s="28"/>
      <c r="B67" s="28"/>
      <c r="C67" s="28"/>
      <c r="D67" s="28"/>
      <c r="E67" s="31"/>
      <c r="F67" s="28" t="n">
        <v>0.3</v>
      </c>
    </row>
    <row r="68" customFormat="false" ht="15" hidden="false" customHeight="true" outlineLevel="0" collapsed="false">
      <c r="A68" s="28"/>
      <c r="B68" s="28"/>
      <c r="C68" s="28"/>
      <c r="D68" s="28"/>
      <c r="E68" s="31"/>
      <c r="F68" s="28" t="n">
        <v>0.3</v>
      </c>
    </row>
    <row r="69" customFormat="false" ht="15" hidden="false" customHeight="true" outlineLevel="0" collapsed="false">
      <c r="A69" s="28"/>
      <c r="B69" s="28"/>
      <c r="C69" s="28"/>
      <c r="D69" s="28"/>
      <c r="E69" s="31"/>
      <c r="F69" s="28" t="n">
        <v>0.3</v>
      </c>
    </row>
    <row r="70" customFormat="false" ht="15" hidden="false" customHeight="true" outlineLevel="0" collapsed="false">
      <c r="A70" s="28"/>
      <c r="B70" s="28"/>
      <c r="C70" s="28"/>
      <c r="D70" s="28"/>
      <c r="E70" s="31"/>
      <c r="F70" s="28" t="n">
        <v>0.3</v>
      </c>
    </row>
    <row r="71" customFormat="false" ht="15" hidden="false" customHeight="true" outlineLevel="0" collapsed="false">
      <c r="A71" s="28"/>
      <c r="B71" s="28"/>
      <c r="C71" s="28"/>
      <c r="D71" s="28"/>
      <c r="E71" s="31"/>
      <c r="F71" s="28" t="n">
        <v>0.3</v>
      </c>
    </row>
    <row r="72" customFormat="false" ht="15" hidden="false" customHeight="true" outlineLevel="0" collapsed="false">
      <c r="A72" s="28"/>
      <c r="B72" s="28"/>
      <c r="C72" s="28"/>
      <c r="D72" s="28"/>
      <c r="E72" s="31"/>
      <c r="F72" s="28" t="n">
        <v>0.3</v>
      </c>
    </row>
    <row r="73" customFormat="false" ht="15" hidden="false" customHeight="true" outlineLevel="0" collapsed="false">
      <c r="A73" s="28"/>
      <c r="B73" s="28"/>
      <c r="C73" s="28"/>
      <c r="D73" s="28"/>
      <c r="E73" s="31"/>
      <c r="F73" s="28" t="n">
        <v>0.3</v>
      </c>
    </row>
    <row r="74" customFormat="false" ht="15" hidden="false" customHeight="true" outlineLevel="0" collapsed="false">
      <c r="A74" s="28"/>
      <c r="B74" s="28"/>
      <c r="C74" s="28"/>
      <c r="D74" s="28"/>
      <c r="E74" s="31"/>
      <c r="F74" s="28" t="n">
        <v>0.3</v>
      </c>
    </row>
    <row r="75" customFormat="false" ht="15" hidden="false" customHeight="true" outlineLevel="0" collapsed="false">
      <c r="A75" s="28"/>
      <c r="B75" s="28"/>
      <c r="C75" s="28"/>
      <c r="D75" s="28"/>
      <c r="E75" s="31"/>
      <c r="F75" s="28" t="n">
        <v>0.3</v>
      </c>
    </row>
    <row r="76" customFormat="false" ht="15" hidden="false" customHeight="true" outlineLevel="0" collapsed="false">
      <c r="A76" s="28"/>
      <c r="B76" s="28"/>
      <c r="C76" s="28"/>
      <c r="D76" s="28"/>
      <c r="E76" s="31"/>
      <c r="F76" s="28" t="n">
        <v>0.3</v>
      </c>
    </row>
    <row r="77" customFormat="false" ht="15" hidden="false" customHeight="true" outlineLevel="0" collapsed="false">
      <c r="A77" s="28"/>
      <c r="B77" s="28"/>
      <c r="C77" s="28"/>
      <c r="D77" s="28"/>
      <c r="E77" s="31"/>
      <c r="F77" s="28" t="n">
        <v>0.3</v>
      </c>
    </row>
    <row r="78" customFormat="false" ht="15" hidden="false" customHeight="true" outlineLevel="0" collapsed="false">
      <c r="A78" s="28"/>
      <c r="B78" s="28"/>
      <c r="C78" s="28"/>
      <c r="D78" s="28"/>
      <c r="E78" s="31"/>
      <c r="F78" s="28" t="n">
        <v>0.3</v>
      </c>
    </row>
    <row r="79" customFormat="false" ht="15" hidden="false" customHeight="true" outlineLevel="0" collapsed="false">
      <c r="A79" s="28"/>
      <c r="B79" s="28"/>
      <c r="C79" s="28"/>
      <c r="D79" s="28"/>
      <c r="E79" s="31"/>
      <c r="F79" s="28" t="n">
        <v>0.3</v>
      </c>
    </row>
    <row r="80" customFormat="false" ht="15" hidden="false" customHeight="true" outlineLevel="0" collapsed="false">
      <c r="A80" s="28"/>
      <c r="B80" s="28"/>
      <c r="C80" s="28"/>
      <c r="D80" s="28"/>
      <c r="E80" s="31"/>
      <c r="F80" s="28" t="n">
        <v>0.3</v>
      </c>
    </row>
    <row r="81" customFormat="false" ht="15" hidden="false" customHeight="true" outlineLevel="0" collapsed="false">
      <c r="A81" s="28"/>
      <c r="B81" s="28"/>
      <c r="C81" s="28"/>
      <c r="D81" s="28"/>
      <c r="E81" s="31"/>
      <c r="F81" s="28" t="n">
        <v>0.3</v>
      </c>
    </row>
    <row r="82" customFormat="false" ht="15" hidden="false" customHeight="true" outlineLevel="0" collapsed="false">
      <c r="A82" s="28"/>
      <c r="B82" s="28"/>
      <c r="C82" s="28"/>
      <c r="D82" s="28"/>
      <c r="E82" s="31"/>
      <c r="F82" s="28" t="n">
        <v>0.3</v>
      </c>
    </row>
    <row r="83" customFormat="false" ht="15" hidden="false" customHeight="true" outlineLevel="0" collapsed="false">
      <c r="A83" s="28"/>
      <c r="B83" s="28"/>
      <c r="C83" s="28"/>
      <c r="D83" s="28"/>
      <c r="E83" s="31"/>
      <c r="F83" s="28" t="n">
        <v>0.3</v>
      </c>
    </row>
    <row r="84" customFormat="false" ht="15" hidden="false" customHeight="true" outlineLevel="0" collapsed="false">
      <c r="A84" s="28"/>
      <c r="B84" s="28"/>
      <c r="C84" s="28"/>
      <c r="D84" s="28"/>
      <c r="E84" s="31"/>
      <c r="F84" s="28" t="n">
        <v>0.3</v>
      </c>
    </row>
    <row r="85" customFormat="false" ht="15" hidden="false" customHeight="true" outlineLevel="0" collapsed="false">
      <c r="A85" s="28"/>
      <c r="B85" s="28"/>
      <c r="C85" s="28"/>
      <c r="D85" s="28"/>
      <c r="E85" s="31"/>
      <c r="F85" s="28" t="n">
        <v>0.3</v>
      </c>
    </row>
    <row r="86" customFormat="false" ht="15" hidden="false" customHeight="true" outlineLevel="0" collapsed="false">
      <c r="A86" s="28"/>
      <c r="B86" s="28"/>
      <c r="C86" s="28"/>
      <c r="D86" s="28"/>
      <c r="E86" s="31"/>
      <c r="F86" s="28" t="n">
        <v>0.3</v>
      </c>
    </row>
    <row r="87" customFormat="false" ht="15" hidden="false" customHeight="true" outlineLevel="0" collapsed="false">
      <c r="A87" s="28"/>
      <c r="B87" s="28"/>
      <c r="C87" s="28"/>
      <c r="D87" s="28"/>
      <c r="E87" s="31"/>
      <c r="F87" s="28" t="n">
        <v>0.3</v>
      </c>
    </row>
    <row r="88" customFormat="false" ht="15" hidden="false" customHeight="true" outlineLevel="0" collapsed="false">
      <c r="A88" s="28"/>
      <c r="B88" s="28"/>
      <c r="C88" s="28"/>
      <c r="D88" s="28"/>
      <c r="E88" s="31"/>
      <c r="F88" s="28" t="n">
        <v>0.3</v>
      </c>
    </row>
    <row r="89" customFormat="false" ht="15" hidden="false" customHeight="true" outlineLevel="0" collapsed="false">
      <c r="A89" s="28"/>
      <c r="B89" s="28"/>
      <c r="C89" s="28"/>
      <c r="D89" s="28"/>
      <c r="E89" s="31"/>
      <c r="F89" s="28" t="n">
        <v>0.3</v>
      </c>
    </row>
    <row r="90" customFormat="false" ht="15" hidden="false" customHeight="true" outlineLevel="0" collapsed="false">
      <c r="A90" s="28"/>
      <c r="B90" s="28"/>
      <c r="C90" s="28"/>
      <c r="D90" s="28"/>
      <c r="E90" s="31"/>
      <c r="F90" s="28" t="n">
        <v>0.3</v>
      </c>
    </row>
    <row r="91" customFormat="false" ht="15" hidden="false" customHeight="true" outlineLevel="0" collapsed="false">
      <c r="A91" s="28"/>
      <c r="B91" s="28"/>
      <c r="C91" s="28"/>
      <c r="D91" s="28"/>
      <c r="E91" s="31"/>
      <c r="F91" s="28" t="n">
        <v>0.3</v>
      </c>
    </row>
    <row r="92" customFormat="false" ht="15" hidden="false" customHeight="true" outlineLevel="0" collapsed="false">
      <c r="A92" s="28"/>
      <c r="B92" s="28"/>
      <c r="C92" s="28"/>
      <c r="D92" s="28"/>
      <c r="E92" s="31"/>
      <c r="F92" s="28" t="n">
        <v>0.3</v>
      </c>
    </row>
    <row r="93" customFormat="false" ht="15" hidden="false" customHeight="true" outlineLevel="0" collapsed="false">
      <c r="A93" s="28"/>
      <c r="B93" s="28"/>
      <c r="C93" s="28"/>
      <c r="D93" s="28"/>
      <c r="E93" s="31"/>
      <c r="F93" s="28" t="n">
        <v>0.3</v>
      </c>
    </row>
    <row r="94" customFormat="false" ht="15" hidden="false" customHeight="true" outlineLevel="0" collapsed="false">
      <c r="A94" s="28"/>
      <c r="B94" s="28"/>
      <c r="C94" s="28"/>
      <c r="D94" s="28"/>
      <c r="E94" s="31"/>
      <c r="F94" s="28" t="n">
        <v>0.3</v>
      </c>
    </row>
    <row r="95" customFormat="false" ht="15" hidden="false" customHeight="true" outlineLevel="0" collapsed="false">
      <c r="A95" s="28"/>
      <c r="B95" s="28"/>
      <c r="C95" s="28"/>
      <c r="D95" s="28"/>
      <c r="E95" s="31"/>
      <c r="F95" s="28" t="n">
        <v>0.3</v>
      </c>
    </row>
    <row r="96" customFormat="false" ht="15" hidden="false" customHeight="true" outlineLevel="0" collapsed="false">
      <c r="A96" s="28"/>
      <c r="B96" s="28"/>
      <c r="C96" s="28"/>
      <c r="D96" s="28"/>
      <c r="E96" s="31"/>
      <c r="F96" s="28" t="n">
        <v>0.3</v>
      </c>
    </row>
    <row r="97" customFormat="false" ht="15" hidden="false" customHeight="true" outlineLevel="0" collapsed="false">
      <c r="A97" s="28"/>
      <c r="B97" s="28"/>
      <c r="C97" s="28"/>
      <c r="D97" s="28"/>
      <c r="E97" s="31"/>
      <c r="F97" s="28" t="n">
        <v>0.3</v>
      </c>
    </row>
    <row r="98" customFormat="false" ht="15" hidden="false" customHeight="true" outlineLevel="0" collapsed="false">
      <c r="A98" s="28"/>
      <c r="B98" s="28"/>
      <c r="C98" s="28"/>
      <c r="D98" s="28"/>
      <c r="E98" s="31"/>
      <c r="F98" s="28" t="n">
        <v>0.3</v>
      </c>
    </row>
    <row r="99" customFormat="false" ht="15" hidden="false" customHeight="true" outlineLevel="0" collapsed="false">
      <c r="A99" s="28"/>
      <c r="B99" s="28"/>
      <c r="C99" s="28"/>
      <c r="D99" s="28"/>
      <c r="E99" s="31"/>
      <c r="F99" s="28" t="n">
        <v>0.3</v>
      </c>
    </row>
    <row r="100" customFormat="false" ht="15" hidden="false" customHeight="true" outlineLevel="0" collapsed="false">
      <c r="A100" s="28"/>
      <c r="B100" s="28"/>
      <c r="C100" s="28"/>
      <c r="D100" s="28"/>
      <c r="E100" s="31"/>
      <c r="F100" s="28" t="n">
        <v>0.3</v>
      </c>
    </row>
    <row r="101" customFormat="false" ht="15" hidden="false" customHeight="true" outlineLevel="0" collapsed="false">
      <c r="A101" s="28"/>
      <c r="B101" s="28"/>
      <c r="C101" s="28"/>
      <c r="D101" s="28"/>
      <c r="E101" s="31"/>
      <c r="F101" s="28" t="n">
        <v>0.3</v>
      </c>
    </row>
    <row r="102" customFormat="false" ht="15" hidden="false" customHeight="true" outlineLevel="0" collapsed="false">
      <c r="A102" s="28"/>
      <c r="B102" s="28"/>
      <c r="C102" s="28"/>
      <c r="D102" s="28"/>
      <c r="E102" s="31"/>
      <c r="F102" s="28" t="n">
        <v>0.3</v>
      </c>
    </row>
    <row r="103" customFormat="false" ht="15" hidden="false" customHeight="true" outlineLevel="0" collapsed="false">
      <c r="A103" s="28"/>
      <c r="B103" s="28"/>
      <c r="C103" s="28"/>
      <c r="D103" s="28"/>
      <c r="E103" s="31"/>
      <c r="F103" s="28" t="n">
        <v>0.3</v>
      </c>
    </row>
    <row r="104" customFormat="false" ht="15" hidden="false" customHeight="true" outlineLevel="0" collapsed="false">
      <c r="A104" s="28"/>
      <c r="B104" s="28"/>
      <c r="C104" s="28"/>
      <c r="D104" s="28"/>
      <c r="E104" s="31"/>
      <c r="F104" s="28" t="n">
        <v>0.3</v>
      </c>
    </row>
    <row r="105" customFormat="false" ht="15" hidden="false" customHeight="true" outlineLevel="0" collapsed="false">
      <c r="A105" s="28"/>
      <c r="B105" s="28"/>
      <c r="C105" s="28"/>
      <c r="D105" s="28"/>
      <c r="E105" s="31"/>
      <c r="F105" s="28" t="n">
        <v>0.3</v>
      </c>
    </row>
    <row r="106" customFormat="false" ht="15" hidden="false" customHeight="true" outlineLevel="0" collapsed="false">
      <c r="A106" s="28"/>
      <c r="B106" s="28"/>
      <c r="C106" s="28"/>
      <c r="D106" s="28"/>
      <c r="E106" s="31"/>
      <c r="F106" s="28" t="n">
        <v>0.3</v>
      </c>
    </row>
    <row r="107" customFormat="false" ht="15" hidden="false" customHeight="true" outlineLevel="0" collapsed="false">
      <c r="A107" s="28"/>
      <c r="B107" s="28"/>
      <c r="C107" s="28"/>
      <c r="D107" s="28"/>
      <c r="E107" s="31"/>
      <c r="F107" s="28" t="n">
        <v>0.3</v>
      </c>
    </row>
    <row r="108" customFormat="false" ht="15" hidden="false" customHeight="true" outlineLevel="0" collapsed="false">
      <c r="A108" s="28"/>
      <c r="B108" s="28"/>
      <c r="C108" s="28"/>
      <c r="D108" s="28"/>
      <c r="E108" s="31"/>
      <c r="F108" s="28" t="n">
        <v>0.3</v>
      </c>
    </row>
    <row r="109" customFormat="false" ht="15" hidden="false" customHeight="true" outlineLevel="0" collapsed="false">
      <c r="A109" s="28"/>
      <c r="B109" s="28"/>
      <c r="C109" s="28"/>
      <c r="D109" s="28"/>
      <c r="E109" s="31"/>
      <c r="F109" s="28" t="n">
        <v>0.3</v>
      </c>
    </row>
    <row r="110" customFormat="false" ht="15" hidden="false" customHeight="true" outlineLevel="0" collapsed="false">
      <c r="A110" s="28"/>
      <c r="B110" s="28"/>
      <c r="C110" s="28"/>
      <c r="D110" s="28"/>
      <c r="E110" s="31"/>
      <c r="F110" s="28" t="n">
        <v>0.3</v>
      </c>
    </row>
    <row r="111" customFormat="false" ht="15" hidden="false" customHeight="true" outlineLevel="0" collapsed="false">
      <c r="A111" s="28"/>
      <c r="B111" s="28"/>
      <c r="C111" s="28"/>
      <c r="D111" s="28"/>
      <c r="E111" s="31"/>
      <c r="F111" s="28" t="n">
        <v>0.3</v>
      </c>
    </row>
    <row r="112" customFormat="false" ht="15" hidden="false" customHeight="true" outlineLevel="0" collapsed="false">
      <c r="A112" s="28"/>
      <c r="B112" s="28"/>
      <c r="C112" s="28"/>
      <c r="D112" s="28"/>
      <c r="E112" s="31"/>
      <c r="F112" s="28" t="n">
        <v>0.3</v>
      </c>
    </row>
    <row r="113" customFormat="false" ht="15" hidden="false" customHeight="true" outlineLevel="0" collapsed="false">
      <c r="A113" s="28"/>
      <c r="B113" s="28"/>
      <c r="C113" s="28"/>
      <c r="D113" s="28"/>
      <c r="E113" s="31"/>
      <c r="F113" s="28" t="n">
        <v>0.3</v>
      </c>
    </row>
    <row r="114" customFormat="false" ht="15" hidden="false" customHeight="true" outlineLevel="0" collapsed="false">
      <c r="A114" s="28"/>
      <c r="B114" s="28"/>
      <c r="C114" s="28"/>
      <c r="D114" s="28"/>
      <c r="E114" s="31"/>
      <c r="F114" s="28" t="n">
        <v>0.3</v>
      </c>
    </row>
    <row r="115" customFormat="false" ht="15" hidden="false" customHeight="true" outlineLevel="0" collapsed="false">
      <c r="A115" s="28"/>
      <c r="B115" s="28"/>
      <c r="C115" s="28"/>
      <c r="D115" s="28"/>
      <c r="E115" s="31"/>
      <c r="F115" s="28" t="n">
        <v>0.3</v>
      </c>
    </row>
    <row r="116" customFormat="false" ht="15" hidden="false" customHeight="true" outlineLevel="0" collapsed="false">
      <c r="A116" s="28"/>
      <c r="B116" s="28"/>
      <c r="C116" s="28"/>
      <c r="D116" s="28"/>
      <c r="E116" s="31"/>
      <c r="F116" s="28" t="n">
        <v>0.3</v>
      </c>
    </row>
    <row r="117" customFormat="false" ht="15" hidden="false" customHeight="true" outlineLevel="0" collapsed="false">
      <c r="A117" s="28"/>
      <c r="B117" s="28"/>
      <c r="C117" s="28"/>
      <c r="D117" s="28"/>
      <c r="E117" s="31"/>
      <c r="F117" s="28" t="n">
        <v>0.3</v>
      </c>
    </row>
    <row r="118" customFormat="false" ht="15" hidden="false" customHeight="true" outlineLevel="0" collapsed="false">
      <c r="A118" s="28"/>
      <c r="B118" s="28"/>
      <c r="C118" s="28"/>
      <c r="D118" s="28"/>
      <c r="E118" s="31"/>
      <c r="F118" s="28" t="n">
        <v>0.3</v>
      </c>
    </row>
    <row r="119" customFormat="false" ht="15" hidden="false" customHeight="true" outlineLevel="0" collapsed="false">
      <c r="A119" s="28"/>
      <c r="B119" s="28"/>
      <c r="C119" s="28"/>
      <c r="D119" s="28"/>
      <c r="E119" s="31"/>
      <c r="F119" s="28" t="n">
        <v>0.3</v>
      </c>
    </row>
    <row r="120" customFormat="false" ht="15" hidden="false" customHeight="true" outlineLevel="0" collapsed="false">
      <c r="A120" s="28"/>
      <c r="B120" s="28"/>
      <c r="C120" s="28"/>
      <c r="D120" s="28"/>
      <c r="E120" s="31"/>
      <c r="F120" s="28" t="n">
        <v>0.3</v>
      </c>
    </row>
    <row r="121" customFormat="false" ht="15" hidden="false" customHeight="true" outlineLevel="0" collapsed="false">
      <c r="A121" s="28"/>
      <c r="B121" s="28"/>
      <c r="C121" s="28"/>
      <c r="D121" s="28"/>
      <c r="E121" s="31"/>
      <c r="F121" s="28" t="n">
        <v>0.3</v>
      </c>
    </row>
    <row r="122" customFormat="false" ht="15" hidden="false" customHeight="true" outlineLevel="0" collapsed="false">
      <c r="A122" s="28"/>
      <c r="B122" s="28"/>
      <c r="C122" s="28"/>
      <c r="D122" s="28"/>
      <c r="E122" s="31"/>
      <c r="F122" s="28" t="n">
        <v>0.3</v>
      </c>
    </row>
    <row r="123" customFormat="false" ht="15" hidden="false" customHeight="true" outlineLevel="0" collapsed="false">
      <c r="A123" s="28"/>
      <c r="B123" s="28"/>
      <c r="C123" s="28"/>
      <c r="D123" s="28"/>
      <c r="E123" s="31"/>
      <c r="F123" s="28" t="n">
        <v>0.3</v>
      </c>
    </row>
    <row r="124" customFormat="false" ht="15" hidden="false" customHeight="true" outlineLevel="0" collapsed="false">
      <c r="A124" s="28"/>
      <c r="B124" s="28"/>
      <c r="C124" s="28"/>
      <c r="D124" s="28"/>
      <c r="E124" s="31"/>
      <c r="F124" s="28" t="n">
        <v>0.3</v>
      </c>
    </row>
    <row r="125" customFormat="false" ht="15" hidden="false" customHeight="true" outlineLevel="0" collapsed="false">
      <c r="A125" s="28"/>
      <c r="B125" s="28"/>
      <c r="C125" s="28"/>
      <c r="D125" s="28"/>
      <c r="E125" s="31"/>
      <c r="F125" s="28" t="n">
        <v>0.3</v>
      </c>
    </row>
    <row r="126" customFormat="false" ht="15" hidden="false" customHeight="true" outlineLevel="0" collapsed="false">
      <c r="A126" s="28"/>
      <c r="B126" s="28"/>
      <c r="C126" s="28"/>
      <c r="D126" s="28"/>
      <c r="E126" s="31"/>
      <c r="F126" s="28" t="n">
        <v>0.3</v>
      </c>
    </row>
    <row r="127" customFormat="false" ht="15" hidden="false" customHeight="true" outlineLevel="0" collapsed="false">
      <c r="A127" s="28"/>
      <c r="B127" s="28"/>
      <c r="C127" s="28"/>
      <c r="D127" s="28"/>
      <c r="E127" s="31"/>
      <c r="F127" s="28" t="n">
        <v>0.3</v>
      </c>
    </row>
    <row r="128" customFormat="false" ht="15" hidden="false" customHeight="true" outlineLevel="0" collapsed="false">
      <c r="A128" s="28"/>
      <c r="B128" s="28"/>
      <c r="C128" s="28"/>
      <c r="D128" s="28"/>
      <c r="E128" s="31"/>
      <c r="F128" s="28" t="n">
        <v>0.3</v>
      </c>
    </row>
    <row r="129" customFormat="false" ht="15" hidden="false" customHeight="true" outlineLevel="0" collapsed="false">
      <c r="A129" s="28"/>
      <c r="B129" s="28"/>
      <c r="C129" s="28"/>
      <c r="D129" s="28"/>
      <c r="E129" s="31"/>
      <c r="F129" s="28" t="n">
        <v>0.3</v>
      </c>
    </row>
    <row r="130" customFormat="false" ht="15" hidden="false" customHeight="true" outlineLevel="0" collapsed="false">
      <c r="A130" s="28"/>
      <c r="B130" s="28"/>
      <c r="C130" s="28"/>
      <c r="D130" s="28"/>
      <c r="E130" s="31"/>
      <c r="F130" s="28" t="n">
        <v>0.3</v>
      </c>
    </row>
    <row r="131" customFormat="false" ht="15" hidden="false" customHeight="true" outlineLevel="0" collapsed="false">
      <c r="A131" s="28"/>
      <c r="B131" s="28"/>
      <c r="C131" s="28"/>
      <c r="D131" s="28"/>
      <c r="E131" s="31"/>
      <c r="F131" s="28" t="n">
        <v>0.3</v>
      </c>
    </row>
    <row r="132" customFormat="false" ht="15" hidden="false" customHeight="true" outlineLevel="0" collapsed="false">
      <c r="A132" s="28"/>
      <c r="B132" s="28"/>
      <c r="C132" s="28"/>
      <c r="D132" s="28"/>
      <c r="E132" s="31"/>
      <c r="F132" s="28" t="n">
        <v>0.3</v>
      </c>
    </row>
    <row r="133" customFormat="false" ht="15" hidden="false" customHeight="true" outlineLevel="0" collapsed="false">
      <c r="A133" s="28"/>
      <c r="B133" s="28"/>
      <c r="C133" s="28"/>
      <c r="D133" s="28"/>
      <c r="E133" s="31"/>
      <c r="F133" s="28" t="n">
        <v>0.3</v>
      </c>
    </row>
    <row r="134" customFormat="false" ht="15" hidden="false" customHeight="true" outlineLevel="0" collapsed="false">
      <c r="A134" s="28"/>
      <c r="B134" s="28"/>
      <c r="C134" s="28"/>
      <c r="D134" s="28"/>
      <c r="E134" s="31"/>
      <c r="F134" s="28" t="n">
        <v>0.3</v>
      </c>
    </row>
    <row r="135" customFormat="false" ht="15" hidden="false" customHeight="true" outlineLevel="0" collapsed="false">
      <c r="A135" s="28"/>
      <c r="B135" s="28"/>
      <c r="C135" s="28"/>
      <c r="D135" s="28"/>
      <c r="E135" s="31"/>
      <c r="F135" s="28" t="n">
        <v>0.3</v>
      </c>
    </row>
    <row r="136" customFormat="false" ht="15" hidden="false" customHeight="true" outlineLevel="0" collapsed="false">
      <c r="A136" s="28"/>
      <c r="B136" s="28"/>
      <c r="C136" s="28"/>
      <c r="D136" s="28"/>
      <c r="E136" s="31"/>
      <c r="F136" s="28" t="n">
        <v>0.3</v>
      </c>
    </row>
    <row r="137" customFormat="false" ht="15" hidden="false" customHeight="true" outlineLevel="0" collapsed="false">
      <c r="A137" s="28"/>
      <c r="B137" s="28"/>
      <c r="C137" s="28"/>
      <c r="D137" s="28"/>
      <c r="E137" s="31"/>
      <c r="F137" s="28" t="n">
        <v>0.3</v>
      </c>
    </row>
    <row r="138" customFormat="false" ht="15" hidden="false" customHeight="true" outlineLevel="0" collapsed="false">
      <c r="A138" s="28"/>
      <c r="B138" s="28"/>
      <c r="C138" s="28"/>
      <c r="D138" s="28"/>
      <c r="E138" s="31"/>
      <c r="F138" s="28" t="n">
        <v>0.3</v>
      </c>
    </row>
    <row r="139" customFormat="false" ht="15" hidden="false" customHeight="true" outlineLevel="0" collapsed="false">
      <c r="A139" s="28"/>
      <c r="B139" s="28"/>
      <c r="C139" s="28"/>
      <c r="D139" s="28"/>
      <c r="E139" s="31"/>
      <c r="F139" s="28" t="n">
        <v>0.3</v>
      </c>
    </row>
    <row r="140" customFormat="false" ht="15" hidden="false" customHeight="true" outlineLevel="0" collapsed="false">
      <c r="A140" s="28"/>
      <c r="B140" s="28"/>
      <c r="C140" s="28"/>
      <c r="D140" s="28"/>
      <c r="E140" s="31"/>
      <c r="F140" s="28" t="n">
        <v>0.3</v>
      </c>
    </row>
    <row r="141" customFormat="false" ht="15" hidden="false" customHeight="true" outlineLevel="0" collapsed="false">
      <c r="A141" s="28"/>
      <c r="B141" s="28"/>
      <c r="C141" s="28"/>
      <c r="D141" s="28"/>
      <c r="E141" s="31"/>
      <c r="F141" s="28" t="n">
        <v>0.3</v>
      </c>
    </row>
    <row r="142" customFormat="false" ht="15" hidden="false" customHeight="true" outlineLevel="0" collapsed="false">
      <c r="A142" s="28"/>
      <c r="B142" s="28"/>
      <c r="C142" s="28"/>
      <c r="D142" s="28"/>
      <c r="E142" s="31"/>
      <c r="F142" s="28" t="n">
        <v>0.3</v>
      </c>
    </row>
    <row r="143" customFormat="false" ht="15" hidden="false" customHeight="true" outlineLevel="0" collapsed="false">
      <c r="A143" s="28"/>
      <c r="B143" s="28"/>
      <c r="C143" s="28"/>
      <c r="D143" s="28"/>
      <c r="E143" s="31"/>
      <c r="F143" s="28" t="n">
        <v>0.3</v>
      </c>
    </row>
    <row r="144" customFormat="false" ht="15" hidden="false" customHeight="true" outlineLevel="0" collapsed="false">
      <c r="A144" s="28"/>
      <c r="B144" s="28"/>
      <c r="C144" s="28"/>
      <c r="D144" s="28"/>
      <c r="E144" s="31"/>
      <c r="F144" s="28" t="n">
        <v>0.3</v>
      </c>
    </row>
    <row r="145" customFormat="false" ht="15" hidden="false" customHeight="true" outlineLevel="0" collapsed="false">
      <c r="A145" s="28"/>
      <c r="B145" s="28"/>
      <c r="C145" s="28"/>
      <c r="D145" s="28"/>
      <c r="E145" s="31"/>
      <c r="F145" s="28" t="n">
        <v>0.3</v>
      </c>
    </row>
    <row r="146" customFormat="false" ht="15" hidden="false" customHeight="true" outlineLevel="0" collapsed="false">
      <c r="A146" s="28"/>
      <c r="B146" s="28"/>
      <c r="C146" s="28"/>
      <c r="D146" s="28"/>
      <c r="E146" s="31"/>
      <c r="F146" s="28" t="n">
        <v>0.3</v>
      </c>
    </row>
    <row r="147" customFormat="false" ht="15" hidden="false" customHeight="true" outlineLevel="0" collapsed="false">
      <c r="A147" s="28"/>
      <c r="B147" s="28"/>
      <c r="C147" s="28"/>
      <c r="D147" s="28"/>
      <c r="E147" s="31"/>
      <c r="F147" s="28" t="n">
        <v>0.3</v>
      </c>
    </row>
    <row r="148" customFormat="false" ht="15" hidden="false" customHeight="true" outlineLevel="0" collapsed="false">
      <c r="A148" s="28"/>
      <c r="B148" s="28"/>
      <c r="C148" s="28"/>
      <c r="D148" s="28"/>
      <c r="E148" s="31"/>
      <c r="F148" s="28" t="n">
        <v>0.3</v>
      </c>
    </row>
    <row r="149" customFormat="false" ht="15" hidden="false" customHeight="true" outlineLevel="0" collapsed="false">
      <c r="A149" s="28"/>
      <c r="B149" s="28"/>
      <c r="C149" s="28"/>
      <c r="D149" s="28"/>
      <c r="E149" s="31"/>
      <c r="F149" s="28" t="n">
        <v>0.3</v>
      </c>
    </row>
    <row r="150" customFormat="false" ht="15" hidden="false" customHeight="true" outlineLevel="0" collapsed="false">
      <c r="A150" s="28"/>
      <c r="B150" s="28"/>
      <c r="C150" s="28"/>
      <c r="D150" s="28"/>
      <c r="E150" s="31"/>
      <c r="F150" s="28" t="n">
        <v>0.3</v>
      </c>
    </row>
    <row r="151" customFormat="false" ht="15" hidden="false" customHeight="true" outlineLevel="0" collapsed="false">
      <c r="A151" s="28"/>
      <c r="B151" s="28"/>
      <c r="C151" s="28"/>
      <c r="D151" s="28"/>
      <c r="E151" s="31"/>
      <c r="F151" s="28" t="n">
        <v>0.3</v>
      </c>
    </row>
    <row r="152" customFormat="false" ht="15" hidden="false" customHeight="true" outlineLevel="0" collapsed="false">
      <c r="A152" s="28"/>
      <c r="B152" s="28"/>
      <c r="C152" s="28"/>
      <c r="D152" s="28"/>
      <c r="E152" s="31"/>
      <c r="F152" s="28" t="n">
        <v>0.3</v>
      </c>
    </row>
    <row r="153" customFormat="false" ht="15" hidden="false" customHeight="true" outlineLevel="0" collapsed="false">
      <c r="A153" s="28"/>
      <c r="B153" s="28"/>
      <c r="C153" s="28"/>
      <c r="D153" s="28"/>
      <c r="E153" s="31"/>
      <c r="F153" s="28" t="n">
        <v>0.3</v>
      </c>
    </row>
    <row r="154" customFormat="false" ht="15" hidden="false" customHeight="true" outlineLevel="0" collapsed="false">
      <c r="A154" s="28"/>
      <c r="B154" s="28"/>
      <c r="C154" s="28"/>
      <c r="D154" s="28"/>
      <c r="E154" s="31"/>
      <c r="F154" s="28" t="n">
        <v>0.3</v>
      </c>
    </row>
    <row r="155" customFormat="false" ht="15" hidden="false" customHeight="true" outlineLevel="0" collapsed="false">
      <c r="A155" s="28"/>
      <c r="B155" s="28"/>
      <c r="C155" s="28"/>
      <c r="D155" s="28"/>
      <c r="E155" s="31"/>
      <c r="F155" s="28" t="n">
        <v>0.3</v>
      </c>
    </row>
    <row r="156" customFormat="false" ht="15" hidden="false" customHeight="true" outlineLevel="0" collapsed="false">
      <c r="A156" s="28"/>
      <c r="B156" s="28"/>
      <c r="C156" s="28"/>
      <c r="D156" s="28"/>
      <c r="E156" s="31"/>
      <c r="F156" s="28" t="n">
        <v>0.3</v>
      </c>
    </row>
    <row r="157" customFormat="false" ht="15" hidden="false" customHeight="true" outlineLevel="0" collapsed="false">
      <c r="A157" s="28"/>
      <c r="B157" s="28"/>
      <c r="C157" s="28"/>
      <c r="D157" s="28"/>
      <c r="E157" s="31"/>
      <c r="F157" s="28" t="n">
        <v>0.3</v>
      </c>
    </row>
    <row r="158" customFormat="false" ht="15" hidden="false" customHeight="true" outlineLevel="0" collapsed="false">
      <c r="A158" s="28"/>
      <c r="B158" s="28"/>
      <c r="C158" s="28"/>
      <c r="D158" s="28"/>
      <c r="E158" s="31"/>
      <c r="F158" s="28" t="n">
        <v>0.3</v>
      </c>
    </row>
    <row r="159" customFormat="false" ht="15" hidden="false" customHeight="true" outlineLevel="0" collapsed="false">
      <c r="A159" s="28"/>
      <c r="B159" s="28"/>
      <c r="C159" s="28"/>
      <c r="D159" s="28"/>
      <c r="E159" s="31"/>
      <c r="F159" s="28" t="n">
        <v>0.3</v>
      </c>
    </row>
    <row r="160" customFormat="false" ht="15" hidden="false" customHeight="true" outlineLevel="0" collapsed="false">
      <c r="A160" s="28"/>
      <c r="B160" s="28"/>
      <c r="C160" s="28"/>
      <c r="D160" s="28"/>
      <c r="E160" s="31"/>
      <c r="F160" s="28" t="n">
        <v>0.3</v>
      </c>
    </row>
    <row r="161" customFormat="false" ht="15" hidden="false" customHeight="true" outlineLevel="0" collapsed="false">
      <c r="A161" s="28"/>
      <c r="B161" s="28"/>
      <c r="C161" s="28"/>
      <c r="D161" s="28"/>
      <c r="E161" s="31"/>
      <c r="F161" s="28" t="n">
        <v>0.3</v>
      </c>
    </row>
    <row r="162" customFormat="false" ht="15" hidden="false" customHeight="true" outlineLevel="0" collapsed="false">
      <c r="A162" s="28"/>
      <c r="B162" s="28"/>
      <c r="C162" s="28"/>
      <c r="D162" s="28"/>
      <c r="E162" s="31"/>
      <c r="F162" s="28" t="n">
        <v>0.3</v>
      </c>
    </row>
    <row r="163" customFormat="false" ht="15" hidden="false" customHeight="true" outlineLevel="0" collapsed="false">
      <c r="A163" s="28"/>
      <c r="B163" s="28"/>
      <c r="C163" s="28"/>
      <c r="D163" s="28"/>
      <c r="E163" s="31"/>
      <c r="F163" s="28" t="n">
        <v>0.3</v>
      </c>
    </row>
    <row r="164" customFormat="false" ht="15" hidden="false" customHeight="true" outlineLevel="0" collapsed="false">
      <c r="A164" s="28"/>
      <c r="B164" s="28"/>
      <c r="C164" s="28"/>
      <c r="D164" s="28"/>
      <c r="E164" s="31"/>
      <c r="F164" s="28" t="n">
        <v>0.3</v>
      </c>
    </row>
    <row r="165" customFormat="false" ht="15" hidden="false" customHeight="true" outlineLevel="0" collapsed="false">
      <c r="A165" s="28"/>
      <c r="B165" s="28"/>
      <c r="C165" s="28"/>
      <c r="D165" s="28"/>
      <c r="E165" s="31"/>
      <c r="F165" s="28" t="n">
        <v>0.3</v>
      </c>
    </row>
    <row r="166" customFormat="false" ht="15" hidden="false" customHeight="true" outlineLevel="0" collapsed="false">
      <c r="A166" s="28"/>
      <c r="B166" s="28"/>
      <c r="C166" s="28"/>
      <c r="D166" s="28"/>
      <c r="E166" s="31"/>
      <c r="F166" s="28" t="n">
        <v>0.3</v>
      </c>
    </row>
    <row r="167" customFormat="false" ht="15" hidden="false" customHeight="true" outlineLevel="0" collapsed="false">
      <c r="A167" s="28"/>
      <c r="B167" s="28"/>
      <c r="C167" s="28"/>
      <c r="D167" s="28"/>
      <c r="E167" s="31"/>
      <c r="F167" s="28" t="n">
        <v>0.3</v>
      </c>
    </row>
    <row r="168" customFormat="false" ht="15" hidden="false" customHeight="true" outlineLevel="0" collapsed="false">
      <c r="A168" s="28"/>
      <c r="B168" s="28"/>
      <c r="C168" s="28"/>
      <c r="D168" s="28"/>
      <c r="E168" s="31"/>
      <c r="F168" s="28" t="n">
        <v>0.3</v>
      </c>
    </row>
    <row r="169" customFormat="false" ht="15" hidden="false" customHeight="true" outlineLevel="0" collapsed="false">
      <c r="A169" s="28"/>
      <c r="B169" s="28"/>
      <c r="C169" s="28"/>
      <c r="D169" s="28"/>
      <c r="E169" s="31"/>
      <c r="F169" s="28" t="n">
        <v>0.3</v>
      </c>
    </row>
    <row r="170" customFormat="false" ht="15" hidden="false" customHeight="true" outlineLevel="0" collapsed="false">
      <c r="A170" s="28"/>
      <c r="B170" s="28"/>
      <c r="C170" s="28"/>
      <c r="D170" s="28"/>
      <c r="E170" s="31"/>
      <c r="F170" s="28" t="n">
        <v>0.3</v>
      </c>
    </row>
    <row r="171" customFormat="false" ht="15" hidden="false" customHeight="true" outlineLevel="0" collapsed="false">
      <c r="A171" s="28"/>
      <c r="B171" s="28"/>
      <c r="C171" s="28"/>
      <c r="D171" s="28"/>
      <c r="E171" s="31"/>
      <c r="F171" s="28" t="n">
        <v>0.3</v>
      </c>
    </row>
    <row r="172" customFormat="false" ht="15" hidden="false" customHeight="true" outlineLevel="0" collapsed="false">
      <c r="A172" s="28"/>
      <c r="B172" s="28"/>
      <c r="C172" s="28"/>
      <c r="D172" s="28"/>
      <c r="E172" s="31"/>
      <c r="F172" s="28" t="n">
        <v>0.3</v>
      </c>
    </row>
    <row r="173" customFormat="false" ht="15" hidden="false" customHeight="true" outlineLevel="0" collapsed="false">
      <c r="A173" s="28"/>
      <c r="B173" s="28"/>
      <c r="C173" s="28"/>
      <c r="D173" s="28"/>
      <c r="E173" s="31"/>
      <c r="F173" s="28" t="n">
        <v>0.3</v>
      </c>
    </row>
    <row r="174" customFormat="false" ht="15" hidden="false" customHeight="true" outlineLevel="0" collapsed="false">
      <c r="A174" s="28"/>
      <c r="B174" s="28"/>
      <c r="C174" s="28"/>
      <c r="D174" s="28"/>
      <c r="E174" s="31"/>
      <c r="F174" s="28" t="n">
        <v>0.3</v>
      </c>
    </row>
    <row r="175" customFormat="false" ht="15" hidden="false" customHeight="true" outlineLevel="0" collapsed="false">
      <c r="A175" s="28"/>
      <c r="B175" s="28"/>
      <c r="C175" s="28"/>
      <c r="D175" s="28"/>
      <c r="E175" s="31"/>
      <c r="F175" s="28" t="n">
        <v>0.3</v>
      </c>
    </row>
    <row r="176" customFormat="false" ht="15" hidden="false" customHeight="true" outlineLevel="0" collapsed="false">
      <c r="A176" s="28"/>
      <c r="B176" s="28"/>
      <c r="C176" s="28"/>
      <c r="D176" s="28"/>
      <c r="E176" s="31"/>
      <c r="F176" s="28" t="n">
        <v>0.3</v>
      </c>
    </row>
    <row r="177" customFormat="false" ht="15" hidden="false" customHeight="true" outlineLevel="0" collapsed="false">
      <c r="A177" s="28"/>
      <c r="B177" s="28"/>
      <c r="C177" s="28"/>
      <c r="D177" s="28"/>
      <c r="E177" s="31"/>
      <c r="F177" s="28" t="n">
        <v>0.3</v>
      </c>
    </row>
    <row r="178" customFormat="false" ht="15" hidden="false" customHeight="true" outlineLevel="0" collapsed="false">
      <c r="A178" s="28"/>
      <c r="B178" s="28"/>
      <c r="C178" s="28"/>
      <c r="D178" s="28"/>
      <c r="E178" s="31"/>
      <c r="F178" s="28" t="n">
        <v>0.3</v>
      </c>
    </row>
    <row r="179" customFormat="false" ht="15" hidden="false" customHeight="true" outlineLevel="0" collapsed="false">
      <c r="A179" s="28"/>
      <c r="B179" s="28"/>
      <c r="C179" s="28"/>
      <c r="D179" s="28"/>
      <c r="E179" s="31"/>
      <c r="F179" s="28" t="n">
        <v>0.3</v>
      </c>
    </row>
    <row r="180" customFormat="false" ht="15" hidden="false" customHeight="true" outlineLevel="0" collapsed="false">
      <c r="A180" s="28"/>
      <c r="B180" s="28"/>
      <c r="C180" s="28"/>
      <c r="D180" s="28"/>
      <c r="E180" s="31"/>
      <c r="F180" s="28" t="n">
        <v>0.3</v>
      </c>
    </row>
    <row r="181" customFormat="false" ht="15" hidden="false" customHeight="true" outlineLevel="0" collapsed="false">
      <c r="A181" s="28"/>
      <c r="B181" s="28"/>
      <c r="C181" s="28"/>
      <c r="D181" s="28"/>
      <c r="E181" s="31"/>
      <c r="F181" s="28" t="n">
        <v>0.3</v>
      </c>
    </row>
    <row r="182" customFormat="false" ht="15" hidden="false" customHeight="true" outlineLevel="0" collapsed="false">
      <c r="A182" s="28"/>
      <c r="B182" s="28"/>
      <c r="C182" s="28"/>
      <c r="D182" s="28"/>
      <c r="E182" s="31"/>
      <c r="F182" s="28" t="n">
        <v>0.3</v>
      </c>
    </row>
    <row r="183" customFormat="false" ht="15" hidden="false" customHeight="true" outlineLevel="0" collapsed="false">
      <c r="A183" s="28"/>
      <c r="B183" s="28"/>
      <c r="C183" s="28"/>
      <c r="D183" s="28"/>
      <c r="E183" s="31"/>
      <c r="F183" s="28" t="n">
        <v>0.3</v>
      </c>
    </row>
    <row r="184" customFormat="false" ht="15" hidden="false" customHeight="true" outlineLevel="0" collapsed="false">
      <c r="A184" s="28"/>
      <c r="B184" s="28"/>
      <c r="C184" s="28"/>
      <c r="D184" s="28"/>
      <c r="E184" s="31"/>
      <c r="F184" s="28" t="n">
        <v>0.3</v>
      </c>
    </row>
    <row r="185" customFormat="false" ht="15" hidden="false" customHeight="true" outlineLevel="0" collapsed="false">
      <c r="A185" s="28"/>
      <c r="B185" s="28"/>
      <c r="C185" s="28"/>
      <c r="D185" s="28"/>
      <c r="E185" s="31"/>
      <c r="F185" s="28" t="n">
        <v>0.3</v>
      </c>
    </row>
    <row r="186" customFormat="false" ht="15" hidden="false" customHeight="true" outlineLevel="0" collapsed="false">
      <c r="A186" s="28"/>
      <c r="B186" s="28"/>
      <c r="C186" s="28"/>
      <c r="D186" s="28"/>
      <c r="E186" s="31"/>
      <c r="F186" s="28" t="n">
        <v>0.3</v>
      </c>
    </row>
    <row r="187" customFormat="false" ht="15" hidden="false" customHeight="true" outlineLevel="0" collapsed="false">
      <c r="A187" s="28"/>
      <c r="B187" s="28"/>
      <c r="C187" s="28"/>
      <c r="D187" s="28"/>
      <c r="E187" s="31"/>
      <c r="F187" s="28" t="n">
        <v>0.3</v>
      </c>
    </row>
    <row r="188" customFormat="false" ht="15" hidden="false" customHeight="true" outlineLevel="0" collapsed="false">
      <c r="A188" s="28"/>
      <c r="B188" s="28"/>
      <c r="C188" s="28"/>
      <c r="D188" s="28"/>
      <c r="E188" s="31"/>
      <c r="F188" s="28" t="n">
        <v>0.3</v>
      </c>
    </row>
    <row r="189" customFormat="false" ht="15" hidden="false" customHeight="true" outlineLevel="0" collapsed="false">
      <c r="A189" s="28"/>
      <c r="B189" s="28"/>
      <c r="C189" s="28"/>
      <c r="D189" s="28"/>
      <c r="E189" s="31"/>
      <c r="F189" s="28" t="n">
        <v>0.3</v>
      </c>
    </row>
    <row r="190" customFormat="false" ht="15" hidden="false" customHeight="true" outlineLevel="0" collapsed="false">
      <c r="A190" s="28"/>
      <c r="B190" s="28"/>
      <c r="C190" s="28"/>
      <c r="D190" s="28"/>
      <c r="E190" s="31"/>
      <c r="F190" s="28" t="n">
        <v>0.3</v>
      </c>
    </row>
    <row r="191" customFormat="false" ht="15" hidden="false" customHeight="true" outlineLevel="0" collapsed="false">
      <c r="A191" s="28"/>
      <c r="B191" s="28"/>
      <c r="C191" s="28"/>
      <c r="D191" s="28"/>
      <c r="E191" s="31"/>
      <c r="F191" s="28" t="n">
        <v>0.3</v>
      </c>
    </row>
    <row r="192" customFormat="false" ht="15" hidden="false" customHeight="true" outlineLevel="0" collapsed="false">
      <c r="A192" s="28"/>
      <c r="B192" s="28"/>
      <c r="C192" s="28"/>
      <c r="D192" s="28"/>
      <c r="E192" s="31"/>
      <c r="F192" s="28" t="n">
        <v>0.3</v>
      </c>
    </row>
    <row r="193" customFormat="false" ht="15" hidden="false" customHeight="true" outlineLevel="0" collapsed="false">
      <c r="A193" s="28"/>
      <c r="B193" s="28"/>
      <c r="C193" s="28"/>
      <c r="D193" s="28"/>
      <c r="E193" s="31"/>
      <c r="F193" s="28" t="n">
        <v>0.3</v>
      </c>
    </row>
    <row r="194" customFormat="false" ht="15" hidden="false" customHeight="true" outlineLevel="0" collapsed="false">
      <c r="A194" s="28"/>
      <c r="B194" s="28"/>
      <c r="C194" s="28"/>
      <c r="D194" s="28"/>
      <c r="E194" s="31"/>
      <c r="F194" s="28" t="n">
        <v>0.3</v>
      </c>
    </row>
    <row r="195" customFormat="false" ht="15" hidden="false" customHeight="true" outlineLevel="0" collapsed="false">
      <c r="A195" s="28"/>
      <c r="B195" s="28"/>
      <c r="C195" s="28"/>
      <c r="D195" s="28"/>
      <c r="E195" s="31"/>
      <c r="F195" s="28" t="n">
        <v>0.3</v>
      </c>
    </row>
    <row r="196" customFormat="false" ht="15" hidden="false" customHeight="true" outlineLevel="0" collapsed="false">
      <c r="A196" s="28"/>
      <c r="B196" s="28"/>
      <c r="C196" s="28"/>
      <c r="D196" s="28"/>
      <c r="E196" s="31"/>
      <c r="F196" s="28" t="n">
        <v>0.3</v>
      </c>
    </row>
    <row r="197" customFormat="false" ht="15" hidden="false" customHeight="true" outlineLevel="0" collapsed="false">
      <c r="A197" s="28"/>
      <c r="B197" s="28"/>
      <c r="C197" s="28"/>
      <c r="D197" s="28"/>
      <c r="E197" s="31"/>
      <c r="F197" s="28" t="n">
        <v>0.3</v>
      </c>
    </row>
    <row r="198" customFormat="false" ht="15" hidden="false" customHeight="true" outlineLevel="0" collapsed="false">
      <c r="A198" s="28"/>
      <c r="B198" s="28"/>
      <c r="C198" s="28"/>
      <c r="D198" s="28"/>
      <c r="E198" s="31"/>
      <c r="F198" s="28" t="n">
        <v>0.3</v>
      </c>
    </row>
    <row r="199" customFormat="false" ht="15" hidden="false" customHeight="true" outlineLevel="0" collapsed="false">
      <c r="A199" s="28"/>
      <c r="B199" s="28"/>
      <c r="C199" s="28"/>
      <c r="D199" s="28"/>
      <c r="E199" s="31"/>
      <c r="F199" s="28" t="n">
        <v>0.3</v>
      </c>
    </row>
    <row r="200" customFormat="false" ht="15" hidden="false" customHeight="true" outlineLevel="0" collapsed="false">
      <c r="A200" s="28"/>
      <c r="B200" s="28"/>
      <c r="C200" s="28"/>
      <c r="D200" s="28"/>
      <c r="E200" s="31"/>
      <c r="F200" s="28" t="n">
        <v>0.3</v>
      </c>
    </row>
    <row r="201" customFormat="false" ht="15" hidden="false" customHeight="true" outlineLevel="0" collapsed="false">
      <c r="A201" s="28"/>
      <c r="B201" s="28"/>
      <c r="C201" s="28"/>
      <c r="D201" s="28"/>
      <c r="E201" s="31"/>
      <c r="F201" s="28" t="n">
        <v>0.3</v>
      </c>
    </row>
    <row r="202" customFormat="false" ht="15" hidden="false" customHeight="true" outlineLevel="0" collapsed="false">
      <c r="A202" s="28"/>
      <c r="B202" s="28"/>
      <c r="C202" s="28"/>
      <c r="D202" s="28"/>
      <c r="E202" s="31"/>
      <c r="F202" s="28" t="n">
        <v>0.3</v>
      </c>
    </row>
    <row r="203" customFormat="false" ht="15" hidden="false" customHeight="true" outlineLevel="0" collapsed="false">
      <c r="A203" s="28"/>
      <c r="B203" s="28"/>
      <c r="C203" s="28"/>
      <c r="D203" s="28"/>
      <c r="E203" s="31"/>
      <c r="F203" s="28" t="n">
        <v>0.3</v>
      </c>
    </row>
    <row r="204" customFormat="false" ht="15" hidden="false" customHeight="true" outlineLevel="0" collapsed="false">
      <c r="A204" s="28"/>
      <c r="B204" s="28"/>
      <c r="C204" s="28"/>
      <c r="D204" s="28"/>
      <c r="E204" s="31"/>
      <c r="F204" s="28" t="n">
        <v>0.3</v>
      </c>
    </row>
    <row r="205" customFormat="false" ht="15" hidden="false" customHeight="true" outlineLevel="0" collapsed="false">
      <c r="A205" s="28"/>
      <c r="B205" s="28"/>
      <c r="C205" s="28"/>
      <c r="D205" s="28"/>
      <c r="E205" s="31"/>
      <c r="F205" s="28" t="n">
        <v>0.3</v>
      </c>
    </row>
    <row r="206" customFormat="false" ht="15" hidden="false" customHeight="true" outlineLevel="0" collapsed="false">
      <c r="A206" s="28"/>
      <c r="B206" s="28"/>
      <c r="C206" s="28"/>
      <c r="D206" s="28"/>
      <c r="E206" s="31"/>
      <c r="F206" s="28" t="n">
        <v>0.3</v>
      </c>
    </row>
    <row r="207" customFormat="false" ht="15" hidden="false" customHeight="true" outlineLevel="0" collapsed="false">
      <c r="A207" s="28"/>
      <c r="B207" s="28"/>
      <c r="C207" s="28"/>
      <c r="D207" s="28"/>
      <c r="E207" s="31"/>
      <c r="F207" s="28" t="n">
        <v>0.3</v>
      </c>
    </row>
    <row r="208" customFormat="false" ht="15" hidden="false" customHeight="true" outlineLevel="0" collapsed="false">
      <c r="A208" s="28"/>
      <c r="B208" s="28"/>
      <c r="C208" s="28"/>
      <c r="D208" s="28"/>
      <c r="E208" s="31"/>
      <c r="F208" s="28" t="n">
        <v>0.3</v>
      </c>
    </row>
    <row r="209" customFormat="false" ht="15" hidden="false" customHeight="true" outlineLevel="0" collapsed="false">
      <c r="A209" s="28"/>
      <c r="B209" s="28"/>
      <c r="C209" s="28"/>
      <c r="D209" s="28"/>
      <c r="E209" s="31"/>
      <c r="F209" s="28" t="n">
        <v>0.3</v>
      </c>
    </row>
    <row r="210" customFormat="false" ht="15" hidden="false" customHeight="true" outlineLevel="0" collapsed="false">
      <c r="A210" s="28"/>
      <c r="B210" s="28"/>
      <c r="C210" s="28"/>
      <c r="D210" s="28"/>
      <c r="E210" s="31"/>
      <c r="F210" s="28" t="n">
        <v>0.3</v>
      </c>
    </row>
    <row r="211" customFormat="false" ht="15" hidden="false" customHeight="true" outlineLevel="0" collapsed="false">
      <c r="A211" s="28"/>
      <c r="B211" s="28"/>
      <c r="C211" s="28"/>
      <c r="D211" s="28"/>
      <c r="E211" s="31"/>
      <c r="F211" s="28" t="n">
        <v>0.3</v>
      </c>
    </row>
    <row r="212" customFormat="false" ht="15" hidden="false" customHeight="true" outlineLevel="0" collapsed="false">
      <c r="A212" s="28"/>
      <c r="B212" s="28"/>
      <c r="C212" s="28"/>
      <c r="D212" s="28"/>
      <c r="E212" s="31"/>
      <c r="F212" s="28" t="n">
        <v>0.3</v>
      </c>
    </row>
    <row r="213" customFormat="false" ht="15" hidden="false" customHeight="true" outlineLevel="0" collapsed="false">
      <c r="A213" s="28"/>
      <c r="B213" s="28"/>
      <c r="C213" s="28"/>
      <c r="D213" s="28"/>
      <c r="E213" s="31"/>
      <c r="F213" s="28" t="n">
        <v>0.3</v>
      </c>
    </row>
    <row r="214" customFormat="false" ht="15" hidden="false" customHeight="true" outlineLevel="0" collapsed="false">
      <c r="A214" s="28"/>
      <c r="B214" s="28"/>
      <c r="C214" s="28"/>
      <c r="D214" s="28"/>
      <c r="E214" s="31"/>
      <c r="F214" s="28" t="n">
        <v>0.3</v>
      </c>
    </row>
    <row r="215" customFormat="false" ht="15" hidden="false" customHeight="true" outlineLevel="0" collapsed="false">
      <c r="A215" s="28"/>
      <c r="B215" s="28"/>
      <c r="C215" s="28"/>
      <c r="D215" s="28"/>
      <c r="E215" s="31"/>
      <c r="F215" s="28" t="n">
        <v>0.3</v>
      </c>
    </row>
    <row r="216" customFormat="false" ht="15" hidden="false" customHeight="true" outlineLevel="0" collapsed="false">
      <c r="A216" s="28"/>
      <c r="B216" s="28"/>
      <c r="C216" s="28"/>
      <c r="D216" s="28"/>
      <c r="E216" s="31"/>
      <c r="F216" s="28" t="n">
        <v>0.3</v>
      </c>
    </row>
    <row r="217" customFormat="false" ht="15" hidden="false" customHeight="true" outlineLevel="0" collapsed="false">
      <c r="A217" s="28"/>
      <c r="B217" s="28"/>
      <c r="C217" s="28"/>
      <c r="D217" s="28"/>
      <c r="E217" s="31"/>
      <c r="F217" s="28" t="n">
        <v>0.3</v>
      </c>
    </row>
    <row r="218" customFormat="false" ht="15" hidden="false" customHeight="true" outlineLevel="0" collapsed="false">
      <c r="A218" s="28"/>
      <c r="B218" s="28"/>
      <c r="C218" s="28"/>
      <c r="D218" s="28"/>
      <c r="E218" s="31"/>
      <c r="F218" s="28" t="n">
        <v>0.3</v>
      </c>
    </row>
    <row r="219" customFormat="false" ht="15" hidden="false" customHeight="true" outlineLevel="0" collapsed="false">
      <c r="A219" s="28"/>
      <c r="B219" s="28"/>
      <c r="C219" s="28"/>
      <c r="D219" s="28"/>
      <c r="E219" s="31"/>
      <c r="F219" s="28" t="n">
        <v>0.3</v>
      </c>
    </row>
    <row r="220" customFormat="false" ht="15" hidden="false" customHeight="true" outlineLevel="0" collapsed="false">
      <c r="A220" s="28"/>
      <c r="B220" s="28"/>
      <c r="C220" s="28"/>
      <c r="D220" s="28"/>
      <c r="E220" s="31"/>
      <c r="F220" s="28" t="n">
        <v>0.3</v>
      </c>
    </row>
    <row r="221" customFormat="false" ht="15" hidden="false" customHeight="true" outlineLevel="0" collapsed="false">
      <c r="A221" s="28"/>
      <c r="B221" s="28"/>
      <c r="C221" s="28"/>
      <c r="D221" s="28"/>
      <c r="E221" s="31"/>
      <c r="F221" s="28" t="n">
        <v>0.3</v>
      </c>
    </row>
    <row r="222" customFormat="false" ht="15" hidden="false" customHeight="true" outlineLevel="0" collapsed="false">
      <c r="A222" s="28"/>
      <c r="B222" s="28"/>
      <c r="C222" s="28"/>
      <c r="D222" s="28"/>
      <c r="E222" s="31"/>
      <c r="F222" s="28" t="n">
        <v>0.3</v>
      </c>
    </row>
    <row r="223" customFormat="false" ht="15" hidden="false" customHeight="true" outlineLevel="0" collapsed="false">
      <c r="A223" s="28"/>
      <c r="B223" s="28"/>
      <c r="C223" s="28"/>
      <c r="D223" s="28"/>
      <c r="E223" s="31"/>
      <c r="F223" s="28" t="n">
        <v>0.3</v>
      </c>
    </row>
    <row r="224" customFormat="false" ht="15" hidden="false" customHeight="true" outlineLevel="0" collapsed="false">
      <c r="A224" s="28"/>
      <c r="B224" s="28"/>
      <c r="C224" s="28"/>
      <c r="D224" s="28"/>
      <c r="E224" s="31"/>
      <c r="F224" s="28" t="n">
        <v>0.3</v>
      </c>
    </row>
    <row r="225" customFormat="false" ht="15" hidden="false" customHeight="true" outlineLevel="0" collapsed="false">
      <c r="A225" s="28"/>
      <c r="B225" s="28"/>
      <c r="C225" s="28"/>
      <c r="D225" s="28"/>
      <c r="E225" s="31"/>
      <c r="F225" s="28" t="n">
        <v>0.3</v>
      </c>
    </row>
    <row r="226" customFormat="false" ht="15" hidden="false" customHeight="true" outlineLevel="0" collapsed="false">
      <c r="A226" s="28"/>
      <c r="B226" s="28"/>
      <c r="C226" s="28"/>
      <c r="D226" s="28"/>
      <c r="E226" s="31"/>
      <c r="F226" s="28" t="n">
        <v>0.3</v>
      </c>
    </row>
    <row r="227" customFormat="false" ht="15" hidden="false" customHeight="true" outlineLevel="0" collapsed="false">
      <c r="A227" s="28"/>
      <c r="B227" s="28"/>
      <c r="C227" s="28"/>
      <c r="D227" s="28"/>
      <c r="E227" s="31"/>
      <c r="F227" s="28" t="n">
        <v>0.3</v>
      </c>
    </row>
    <row r="228" customFormat="false" ht="15" hidden="false" customHeight="true" outlineLevel="0" collapsed="false">
      <c r="A228" s="28"/>
      <c r="B228" s="28"/>
      <c r="C228" s="28"/>
      <c r="D228" s="28"/>
      <c r="E228" s="31"/>
      <c r="F228" s="28" t="n">
        <v>0.3</v>
      </c>
    </row>
    <row r="229" customFormat="false" ht="15" hidden="false" customHeight="true" outlineLevel="0" collapsed="false">
      <c r="A229" s="28"/>
      <c r="B229" s="28"/>
      <c r="C229" s="28"/>
      <c r="D229" s="28"/>
      <c r="E229" s="31"/>
      <c r="F229" s="28" t="n">
        <v>0.3</v>
      </c>
    </row>
    <row r="230" customFormat="false" ht="15" hidden="false" customHeight="true" outlineLevel="0" collapsed="false">
      <c r="A230" s="28"/>
      <c r="B230" s="28"/>
      <c r="C230" s="28"/>
      <c r="D230" s="28"/>
      <c r="E230" s="31"/>
      <c r="F230" s="28" t="n">
        <v>0.3</v>
      </c>
    </row>
    <row r="231" customFormat="false" ht="15" hidden="false" customHeight="true" outlineLevel="0" collapsed="false">
      <c r="A231" s="28"/>
      <c r="B231" s="28"/>
      <c r="C231" s="28"/>
      <c r="D231" s="28"/>
      <c r="E231" s="31"/>
      <c r="F231" s="28" t="n">
        <v>0.3</v>
      </c>
    </row>
    <row r="232" customFormat="false" ht="15" hidden="false" customHeight="true" outlineLevel="0" collapsed="false">
      <c r="A232" s="28"/>
      <c r="B232" s="28"/>
      <c r="C232" s="28"/>
      <c r="D232" s="28"/>
      <c r="E232" s="31"/>
      <c r="F232" s="28" t="n">
        <v>0.3</v>
      </c>
    </row>
    <row r="233" customFormat="false" ht="15" hidden="false" customHeight="true" outlineLevel="0" collapsed="false">
      <c r="A233" s="28"/>
      <c r="B233" s="28"/>
      <c r="C233" s="28"/>
      <c r="D233" s="28"/>
      <c r="E233" s="31"/>
      <c r="F233" s="28" t="n">
        <v>0.3</v>
      </c>
    </row>
    <row r="234" customFormat="false" ht="15" hidden="false" customHeight="true" outlineLevel="0" collapsed="false">
      <c r="A234" s="28"/>
      <c r="B234" s="28"/>
      <c r="C234" s="28"/>
      <c r="D234" s="28"/>
      <c r="E234" s="31"/>
      <c r="F234" s="28" t="n">
        <v>0.3</v>
      </c>
    </row>
    <row r="235" customFormat="false" ht="15" hidden="false" customHeight="true" outlineLevel="0" collapsed="false">
      <c r="A235" s="28"/>
      <c r="B235" s="28"/>
      <c r="C235" s="28"/>
      <c r="D235" s="28"/>
      <c r="E235" s="31"/>
      <c r="F235" s="28" t="n">
        <v>0.3</v>
      </c>
    </row>
    <row r="236" customFormat="false" ht="15" hidden="false" customHeight="true" outlineLevel="0" collapsed="false">
      <c r="A236" s="28"/>
      <c r="B236" s="28"/>
      <c r="C236" s="28"/>
      <c r="D236" s="28"/>
      <c r="E236" s="31"/>
      <c r="F236" s="28" t="n">
        <v>0.3</v>
      </c>
    </row>
    <row r="237" customFormat="false" ht="15" hidden="false" customHeight="true" outlineLevel="0" collapsed="false">
      <c r="A237" s="28"/>
      <c r="B237" s="28"/>
      <c r="C237" s="28"/>
      <c r="D237" s="28"/>
      <c r="E237" s="31"/>
      <c r="F237" s="28" t="n">
        <v>0.3</v>
      </c>
    </row>
    <row r="238" customFormat="false" ht="15" hidden="false" customHeight="true" outlineLevel="0" collapsed="false">
      <c r="A238" s="28"/>
      <c r="B238" s="28"/>
      <c r="C238" s="28"/>
      <c r="D238" s="28"/>
      <c r="E238" s="31"/>
      <c r="F238" s="28" t="n">
        <v>0.3</v>
      </c>
    </row>
    <row r="239" customFormat="false" ht="15" hidden="false" customHeight="true" outlineLevel="0" collapsed="false">
      <c r="A239" s="28"/>
      <c r="B239" s="28"/>
      <c r="C239" s="28"/>
      <c r="D239" s="28"/>
      <c r="E239" s="31"/>
      <c r="F239" s="28" t="n">
        <v>0.3</v>
      </c>
    </row>
    <row r="240" customFormat="false" ht="15" hidden="false" customHeight="true" outlineLevel="0" collapsed="false">
      <c r="A240" s="28"/>
      <c r="B240" s="28"/>
      <c r="C240" s="28"/>
      <c r="D240" s="28"/>
      <c r="E240" s="31"/>
      <c r="F240" s="28" t="n">
        <v>0.3</v>
      </c>
    </row>
    <row r="241" customFormat="false" ht="15" hidden="false" customHeight="true" outlineLevel="0" collapsed="false">
      <c r="A241" s="28"/>
      <c r="B241" s="28"/>
      <c r="C241" s="28"/>
      <c r="D241" s="28"/>
      <c r="E241" s="31"/>
      <c r="F241" s="28" t="n">
        <v>0.3</v>
      </c>
    </row>
    <row r="242" customFormat="false" ht="15" hidden="false" customHeight="true" outlineLevel="0" collapsed="false">
      <c r="A242" s="28"/>
      <c r="B242" s="28"/>
      <c r="C242" s="28"/>
      <c r="D242" s="28"/>
      <c r="E242" s="31"/>
      <c r="F242" s="28" t="n">
        <v>0.3</v>
      </c>
    </row>
    <row r="243" customFormat="false" ht="15" hidden="false" customHeight="true" outlineLevel="0" collapsed="false">
      <c r="A243" s="28"/>
      <c r="B243" s="28"/>
      <c r="C243" s="28"/>
      <c r="D243" s="28"/>
      <c r="E243" s="31"/>
      <c r="F243" s="28" t="n">
        <v>0.3</v>
      </c>
    </row>
    <row r="244" customFormat="false" ht="15" hidden="false" customHeight="true" outlineLevel="0" collapsed="false">
      <c r="A244" s="28"/>
      <c r="B244" s="28"/>
      <c r="C244" s="28"/>
      <c r="D244" s="28"/>
      <c r="E244" s="31"/>
      <c r="F244" s="28" t="n">
        <v>0.3</v>
      </c>
    </row>
    <row r="245" customFormat="false" ht="15" hidden="false" customHeight="true" outlineLevel="0" collapsed="false">
      <c r="A245" s="28"/>
      <c r="B245" s="28"/>
      <c r="C245" s="28"/>
      <c r="D245" s="28"/>
      <c r="E245" s="31"/>
      <c r="F245" s="28" t="n">
        <v>0.3</v>
      </c>
    </row>
    <row r="246" customFormat="false" ht="15" hidden="false" customHeight="true" outlineLevel="0" collapsed="false">
      <c r="A246" s="28"/>
      <c r="B246" s="28"/>
      <c r="C246" s="28"/>
      <c r="D246" s="28"/>
      <c r="E246" s="31"/>
      <c r="F246" s="28" t="n">
        <v>0.3</v>
      </c>
    </row>
    <row r="247" customFormat="false" ht="15" hidden="false" customHeight="true" outlineLevel="0" collapsed="false">
      <c r="A247" s="28"/>
      <c r="B247" s="28"/>
      <c r="C247" s="28"/>
      <c r="D247" s="28"/>
      <c r="E247" s="31"/>
      <c r="F247" s="28" t="n">
        <v>0.3</v>
      </c>
    </row>
    <row r="248" customFormat="false" ht="15" hidden="false" customHeight="true" outlineLevel="0" collapsed="false">
      <c r="A248" s="28"/>
      <c r="B248" s="28"/>
      <c r="C248" s="28"/>
      <c r="D248" s="28"/>
      <c r="E248" s="31"/>
      <c r="F248" s="28" t="n">
        <v>0.3</v>
      </c>
    </row>
    <row r="249" customFormat="false" ht="15" hidden="false" customHeight="true" outlineLevel="0" collapsed="false">
      <c r="A249" s="28"/>
      <c r="B249" s="28"/>
      <c r="C249" s="28"/>
      <c r="D249" s="28"/>
      <c r="E249" s="31"/>
      <c r="F249" s="28" t="n">
        <v>0.3</v>
      </c>
    </row>
    <row r="250" customFormat="false" ht="15" hidden="false" customHeight="true" outlineLevel="0" collapsed="false">
      <c r="A250" s="28"/>
      <c r="B250" s="28"/>
      <c r="C250" s="28"/>
      <c r="D250" s="28"/>
      <c r="E250" s="31"/>
      <c r="F250" s="28" t="n">
        <v>0.3</v>
      </c>
    </row>
    <row r="251" customFormat="false" ht="15" hidden="false" customHeight="true" outlineLevel="0" collapsed="false">
      <c r="A251" s="28"/>
      <c r="B251" s="28"/>
      <c r="C251" s="28"/>
      <c r="D251" s="28"/>
      <c r="E251" s="31"/>
      <c r="F251" s="28" t="n">
        <v>0.3</v>
      </c>
    </row>
  </sheetData>
  <mergeCells count="1">
    <mergeCell ref="H2:Q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1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33" activeCellId="0" sqref="A33"/>
    </sheetView>
  </sheetViews>
  <sheetFormatPr defaultColWidth="8.59765625" defaultRowHeight="15" zeroHeight="false" outlineLevelRow="0" outlineLevelCol="0"/>
  <cols>
    <col collapsed="false" customWidth="true" hidden="false" outlineLevel="0" max="1" min="1" style="14" width="9.1"/>
    <col collapsed="false" customWidth="true" hidden="false" outlineLevel="0" max="2" min="2" style="14" width="12.05"/>
    <col collapsed="false" customWidth="true" hidden="false" outlineLevel="0" max="3" min="3" style="14" width="17.68"/>
    <col collapsed="false" customWidth="true" hidden="false" outlineLevel="0" max="7" min="4" style="14" width="12"/>
  </cols>
  <sheetData>
    <row r="1" customFormat="false" ht="15" hidden="false" customHeight="true" outlineLevel="0" collapsed="false">
      <c r="A1" s="16" t="s">
        <v>0</v>
      </c>
      <c r="B1" s="33" t="s">
        <v>115</v>
      </c>
      <c r="C1" s="16" t="s">
        <v>116</v>
      </c>
      <c r="D1" s="16" t="s">
        <v>117</v>
      </c>
      <c r="E1" s="16" t="s">
        <v>118</v>
      </c>
      <c r="F1" s="16" t="s">
        <v>119</v>
      </c>
      <c r="G1" s="16" t="s">
        <v>120</v>
      </c>
    </row>
    <row r="2" customFormat="false" ht="15.75" hidden="false" customHeight="true" outlineLevel="0" collapsed="false">
      <c r="A2" s="34" t="n">
        <f aca="false">PRODUTOS!A2</f>
        <v>26482</v>
      </c>
      <c r="B2" s="35" t="n">
        <f aca="false">IF(PRODUTOS!E2="","",PRODUTOS!E2*(1-ICMS_CREDITO))</f>
        <v>1789.04</v>
      </c>
      <c r="C2" s="34" t="n">
        <f aca="false">IF(PRODUTOS!F2="",MARGEM_PADRAO,PRODUTOS!F2)</f>
        <v>0.3</v>
      </c>
      <c r="D2" s="35" t="n">
        <f aca="false">IF(B2="","",ROUND(B2/(1-IMPOSTOS-C2),2))</f>
        <v>4059.54</v>
      </c>
      <c r="E2" s="35" t="n">
        <f aca="false">IF(B2="","",ROUND(B2/(1-IMPOSTOS-C2-TAXA_3X),2))</f>
        <v>4509.81</v>
      </c>
      <c r="F2" s="35" t="n">
        <f aca="false">IF(B2="","",ROUND(B2/(1-IMPOSTOS-C2-TAXA_6X),2))</f>
        <v>4754.29</v>
      </c>
      <c r="G2" s="35" t="n">
        <f aca="false">IF(B2="","",ROUND(B2/(1-IMPOSTOS-C2-TAXA_10X),2))</f>
        <v>5383.81</v>
      </c>
      <c r="I2" s="21" t="s">
        <v>121</v>
      </c>
      <c r="J2" s="21"/>
      <c r="K2" s="21"/>
      <c r="L2" s="21"/>
      <c r="M2" s="21"/>
      <c r="N2" s="21"/>
      <c r="O2" s="21"/>
      <c r="P2" s="21"/>
      <c r="Q2" s="21"/>
      <c r="R2" s="21"/>
    </row>
    <row r="3" customFormat="false" ht="15.75" hidden="false" customHeight="true" outlineLevel="0" collapsed="false">
      <c r="A3" s="34" t="n">
        <f aca="false">PRODUTOS!A3</f>
        <v>26483</v>
      </c>
      <c r="B3" s="35" t="str">
        <f aca="false">IF(PRODUTOS!E3="","",PRODUTOS!E3*(1-ICMS_CREDITO))</f>
        <v/>
      </c>
      <c r="C3" s="34" t="n">
        <f aca="false">IF(PRODUTOS!F3="",MARGEM_PADRAO,PRODUTOS!F3)</f>
        <v>0.3</v>
      </c>
      <c r="D3" s="35" t="str">
        <f aca="false">IF(B3="","",ROUND(B3/(1-IMPOSTOS-C3),2))</f>
        <v/>
      </c>
      <c r="E3" s="35" t="str">
        <f aca="false">IF(B3="","",ROUND(B3/(1-IMPOSTOS-C3-TAXA_3X),2))</f>
        <v/>
      </c>
      <c r="F3" s="35" t="str">
        <f aca="false">IF(B3="","",ROUND(B3/(1-IMPOSTOS-C3-TAXA_6X),2))</f>
        <v/>
      </c>
      <c r="G3" s="35" t="str">
        <f aca="false">IF(B3="","",ROUND(B3/(1-IMPOSTOS-C3-TAXA_10X),2))</f>
        <v/>
      </c>
      <c r="I3" s="21"/>
      <c r="J3" s="21"/>
      <c r="K3" s="21"/>
      <c r="L3" s="21"/>
      <c r="M3" s="21"/>
      <c r="N3" s="21"/>
      <c r="O3" s="21"/>
      <c r="P3" s="21"/>
      <c r="Q3" s="21"/>
      <c r="R3" s="21"/>
    </row>
    <row r="4" customFormat="false" ht="15.75" hidden="false" customHeight="true" outlineLevel="0" collapsed="false">
      <c r="A4" s="34" t="n">
        <f aca="false">PRODUTOS!A4</f>
        <v>26080</v>
      </c>
      <c r="B4" s="35" t="n">
        <f aca="false">IF(PRODUTOS!E4="","",PRODUTOS!E4*(1-ICMS_CREDITO))</f>
        <v>2075.92</v>
      </c>
      <c r="C4" s="34" t="n">
        <f aca="false">IF(PRODUTOS!F4="",MARGEM_PADRAO,PRODUTOS!F4)</f>
        <v>0.3</v>
      </c>
      <c r="D4" s="35" t="n">
        <f aca="false">IF(B4="","",ROUND(B4/(1-IMPOSTOS-C4),2))</f>
        <v>4710.51</v>
      </c>
      <c r="E4" s="35" t="n">
        <f aca="false">IF(B4="","",ROUND(B4/(1-IMPOSTOS-C4-TAXA_3X),2))</f>
        <v>5232.97</v>
      </c>
      <c r="F4" s="35" t="n">
        <f aca="false">IF(B4="","",ROUND(B4/(1-IMPOSTOS-C4-TAXA_6X),2))</f>
        <v>5516.66</v>
      </c>
      <c r="G4" s="35" t="n">
        <f aca="false">IF(B4="","",ROUND(B4/(1-IMPOSTOS-C4-TAXA_10X),2))</f>
        <v>6247.13</v>
      </c>
      <c r="I4" s="21"/>
      <c r="J4" s="21"/>
      <c r="K4" s="21"/>
      <c r="L4" s="21"/>
      <c r="M4" s="21"/>
      <c r="N4" s="21"/>
      <c r="O4" s="21"/>
      <c r="P4" s="21"/>
      <c r="Q4" s="21"/>
      <c r="R4" s="21"/>
    </row>
    <row r="5" customFormat="false" ht="15.75" hidden="false" customHeight="true" outlineLevel="0" collapsed="false">
      <c r="A5" s="34" t="n">
        <f aca="false">PRODUTOS!A5</f>
        <v>26081</v>
      </c>
      <c r="B5" s="35" t="str">
        <f aca="false">IF(PRODUTOS!E5="","",PRODUTOS!E5*(1-ICMS_CREDITO))</f>
        <v/>
      </c>
      <c r="C5" s="34" t="n">
        <f aca="false">IF(PRODUTOS!F5="",MARGEM_PADRAO,PRODUTOS!F5)</f>
        <v>0.3</v>
      </c>
      <c r="D5" s="35" t="str">
        <f aca="false">IF(B5="","",ROUND(B5/(1-IMPOSTOS-C5),2))</f>
        <v/>
      </c>
      <c r="E5" s="35" t="str">
        <f aca="false">IF(B5="","",ROUND(B5/(1-IMPOSTOS-C5-TAXA_3X),2))</f>
        <v/>
      </c>
      <c r="F5" s="35" t="str">
        <f aca="false">IF(B5="","",ROUND(B5/(1-IMPOSTOS-C5-TAXA_6X),2))</f>
        <v/>
      </c>
      <c r="G5" s="35" t="str">
        <f aca="false">IF(B5="","",ROUND(B5/(1-IMPOSTOS-C5-TAXA_10X),2))</f>
        <v/>
      </c>
      <c r="I5" s="21"/>
      <c r="J5" s="21"/>
      <c r="K5" s="21"/>
      <c r="L5" s="21"/>
      <c r="M5" s="21"/>
      <c r="N5" s="21"/>
      <c r="O5" s="21"/>
      <c r="P5" s="21"/>
      <c r="Q5" s="21"/>
      <c r="R5" s="21"/>
    </row>
    <row r="6" customFormat="false" ht="15.75" hidden="false" customHeight="true" outlineLevel="0" collapsed="false">
      <c r="A6" s="34" t="n">
        <f aca="false">PRODUTOS!A6</f>
        <v>26471</v>
      </c>
      <c r="B6" s="35" t="n">
        <f aca="false">IF(PRODUTOS!E6="","",PRODUTOS!E6*(1-ICMS_CREDITO))</f>
        <v>2887.28</v>
      </c>
      <c r="C6" s="34" t="n">
        <f aca="false">IF(PRODUTOS!F6="",MARGEM_PADRAO,PRODUTOS!F6)</f>
        <v>0.3</v>
      </c>
      <c r="D6" s="35" t="n">
        <f aca="false">IF(B6="","",ROUND(B6/(1-IMPOSTOS-C6),2))</f>
        <v>6551.58</v>
      </c>
      <c r="E6" s="35" t="n">
        <f aca="false">IF(B6="","",ROUND(B6/(1-IMPOSTOS-C6-TAXA_3X),2))</f>
        <v>7278.25</v>
      </c>
      <c r="F6" s="35" t="n">
        <f aca="false">IF(B6="","",ROUND(B6/(1-IMPOSTOS-C6-TAXA_6X),2))</f>
        <v>7672.81</v>
      </c>
      <c r="G6" s="35" t="n">
        <f aca="false">IF(B6="","",ROUND(B6/(1-IMPOSTOS-C6-TAXA_10X),2))</f>
        <v>8688.78</v>
      </c>
      <c r="I6" s="21"/>
      <c r="J6" s="21"/>
      <c r="K6" s="21"/>
      <c r="L6" s="21"/>
      <c r="M6" s="21"/>
      <c r="N6" s="21"/>
      <c r="O6" s="21"/>
      <c r="P6" s="21"/>
      <c r="Q6" s="21"/>
      <c r="R6" s="21"/>
    </row>
    <row r="7" customFormat="false" ht="15.75" hidden="false" customHeight="true" outlineLevel="0" collapsed="false">
      <c r="A7" s="34" t="n">
        <f aca="false">PRODUTOS!A7</f>
        <v>26472</v>
      </c>
      <c r="B7" s="35" t="str">
        <f aca="false">IF(PRODUTOS!E7="","",PRODUTOS!E7*(1-ICMS_CREDITO))</f>
        <v/>
      </c>
      <c r="C7" s="34" t="n">
        <f aca="false">IF(PRODUTOS!F7="",MARGEM_PADRAO,PRODUTOS!F7)</f>
        <v>0.3</v>
      </c>
      <c r="D7" s="35" t="str">
        <f aca="false">IF(B7="","",ROUND(B7/(1-IMPOSTOS-C7),2))</f>
        <v/>
      </c>
      <c r="E7" s="35" t="str">
        <f aca="false">IF(B7="","",ROUND(B7/(1-IMPOSTOS-C7-TAXA_3X),2))</f>
        <v/>
      </c>
      <c r="F7" s="35" t="str">
        <f aca="false">IF(B7="","",ROUND(B7/(1-IMPOSTOS-C7-TAXA_6X),2))</f>
        <v/>
      </c>
      <c r="G7" s="35" t="str">
        <f aca="false">IF(B7="","",ROUND(B7/(1-IMPOSTOS-C7-TAXA_10X),2))</f>
        <v/>
      </c>
    </row>
    <row r="8" customFormat="false" ht="15.75" hidden="false" customHeight="true" outlineLevel="0" collapsed="false">
      <c r="A8" s="34" t="n">
        <f aca="false">PRODUTOS!A8</f>
        <v>26821</v>
      </c>
      <c r="B8" s="35" t="n">
        <f aca="false">IF(PRODUTOS!E8="","",PRODUTOS!E8*(1-ICMS_CREDITO))</f>
        <v>1713.36</v>
      </c>
      <c r="C8" s="34" t="n">
        <f aca="false">IF(PRODUTOS!F8="",MARGEM_PADRAO,PRODUTOS!F8)</f>
        <v>0.3</v>
      </c>
      <c r="D8" s="35" t="n">
        <f aca="false">IF(B8="","",ROUND(B8/(1-IMPOSTOS-C8),2))</f>
        <v>3887.81</v>
      </c>
      <c r="E8" s="35" t="n">
        <f aca="false">IF(B8="","",ROUND(B8/(1-IMPOSTOS-C8-TAXA_3X),2))</f>
        <v>4319.03</v>
      </c>
      <c r="F8" s="35" t="n">
        <f aca="false">IF(B8="","",ROUND(B8/(1-IMPOSTOS-C8-TAXA_6X),2))</f>
        <v>4553.18</v>
      </c>
      <c r="G8" s="35" t="n">
        <f aca="false">IF(B8="","",ROUND(B8/(1-IMPOSTOS-C8-TAXA_10X),2))</f>
        <v>5156.06</v>
      </c>
    </row>
    <row r="9" customFormat="false" ht="15.75" hidden="false" customHeight="true" outlineLevel="0" collapsed="false">
      <c r="A9" s="34" t="n">
        <f aca="false">PRODUTOS!A9</f>
        <v>27124</v>
      </c>
      <c r="B9" s="35" t="str">
        <f aca="false">IF(PRODUTOS!E9="","",PRODUTOS!E9*(1-ICMS_CREDITO))</f>
        <v/>
      </c>
      <c r="C9" s="34" t="n">
        <f aca="false">IF(PRODUTOS!F9="",MARGEM_PADRAO,PRODUTOS!F9)</f>
        <v>0.3</v>
      </c>
      <c r="D9" s="35" t="str">
        <f aca="false">IF(B9="","",ROUND(B9/(1-IMPOSTOS-C9),2))</f>
        <v/>
      </c>
      <c r="E9" s="35" t="str">
        <f aca="false">IF(B9="","",ROUND(B9/(1-IMPOSTOS-C9-TAXA_3X),2))</f>
        <v/>
      </c>
      <c r="F9" s="35" t="str">
        <f aca="false">IF(B9="","",ROUND(B9/(1-IMPOSTOS-C9-TAXA_6X),2))</f>
        <v/>
      </c>
      <c r="G9" s="35" t="str">
        <f aca="false">IF(B9="","",ROUND(B9/(1-IMPOSTOS-C9-TAXA_10X),2))</f>
        <v/>
      </c>
    </row>
    <row r="10" customFormat="false" ht="15.75" hidden="false" customHeight="true" outlineLevel="0" collapsed="false">
      <c r="A10" s="34" t="n">
        <f aca="false">PRODUTOS!A10</f>
        <v>25812</v>
      </c>
      <c r="B10" s="35" t="n">
        <f aca="false">IF(PRODUTOS!E10="","",PRODUTOS!E10*(1-ICMS_CREDITO))</f>
        <v>1473.12</v>
      </c>
      <c r="C10" s="34" t="n">
        <f aca="false">IF(PRODUTOS!F10="",MARGEM_PADRAO,PRODUTOS!F10)</f>
        <v>0.3</v>
      </c>
      <c r="D10" s="35" t="n">
        <f aca="false">IF(B10="","",ROUND(B10/(1-IMPOSTOS-C10),2))</f>
        <v>3342.68</v>
      </c>
      <c r="E10" s="35" t="n">
        <f aca="false">IF(B10="","",ROUND(B10/(1-IMPOSTOS-C10-TAXA_3X),2))</f>
        <v>3713.44</v>
      </c>
      <c r="F10" s="35" t="n">
        <f aca="false">IF(B10="","",ROUND(B10/(1-IMPOSTOS-C10-TAXA_6X),2))</f>
        <v>3914.75</v>
      </c>
      <c r="G10" s="35" t="n">
        <f aca="false">IF(B10="","",ROUND(B10/(1-IMPOSTOS-C10-TAXA_10X),2))</f>
        <v>4433.1</v>
      </c>
    </row>
    <row r="11" customFormat="false" ht="15.75" hidden="false" customHeight="true" outlineLevel="0" collapsed="false">
      <c r="A11" s="34" t="n">
        <f aca="false">PRODUTOS!A11</f>
        <v>25808</v>
      </c>
      <c r="B11" s="35" t="str">
        <f aca="false">IF(PRODUTOS!E11="","",PRODUTOS!E11*(1-ICMS_CREDITO))</f>
        <v/>
      </c>
      <c r="C11" s="34" t="n">
        <f aca="false">IF(PRODUTOS!F11="",MARGEM_PADRAO,PRODUTOS!F11)</f>
        <v>0.3</v>
      </c>
      <c r="D11" s="35" t="str">
        <f aca="false">IF(B11="","",ROUND(B11/(1-IMPOSTOS-C11),2))</f>
        <v/>
      </c>
      <c r="E11" s="35" t="str">
        <f aca="false">IF(B11="","",ROUND(B11/(1-IMPOSTOS-C11-TAXA_3X),2))</f>
        <v/>
      </c>
      <c r="F11" s="35" t="str">
        <f aca="false">IF(B11="","",ROUND(B11/(1-IMPOSTOS-C11-TAXA_6X),2))</f>
        <v/>
      </c>
      <c r="G11" s="35" t="str">
        <f aca="false">IF(B11="","",ROUND(B11/(1-IMPOSTOS-C11-TAXA_10X),2))</f>
        <v/>
      </c>
    </row>
    <row r="12" customFormat="false" ht="15.75" hidden="false" customHeight="true" outlineLevel="0" collapsed="false">
      <c r="A12" s="34" t="n">
        <f aca="false">PRODUTOS!A12</f>
        <v>25595</v>
      </c>
      <c r="B12" s="35" t="n">
        <f aca="false">IF(PRODUTOS!E12="","",PRODUTOS!E12*(1-ICMS_CREDITO))</f>
        <v>2503.6</v>
      </c>
      <c r="C12" s="34" t="n">
        <f aca="false">IF(PRODUTOS!F12="",MARGEM_PADRAO,PRODUTOS!F12)</f>
        <v>0.3</v>
      </c>
      <c r="D12" s="35" t="n">
        <f aca="false">IF(B12="","",ROUND(B12/(1-IMPOSTOS-C12),2))</f>
        <v>5680.96</v>
      </c>
      <c r="E12" s="35" t="n">
        <f aca="false">IF(B12="","",ROUND(B12/(1-IMPOSTOS-C12-TAXA_3X),2))</f>
        <v>6311.07</v>
      </c>
      <c r="F12" s="35" t="n">
        <f aca="false">IF(B12="","",ROUND(B12/(1-IMPOSTOS-C12-TAXA_6X),2))</f>
        <v>6653.2</v>
      </c>
      <c r="G12" s="35" t="n">
        <f aca="false">IF(B12="","",ROUND(B12/(1-IMPOSTOS-C12-TAXA_10X),2))</f>
        <v>7534.16</v>
      </c>
    </row>
    <row r="13" customFormat="false" ht="15.75" hidden="false" customHeight="true" outlineLevel="0" collapsed="false">
      <c r="A13" s="34" t="n">
        <f aca="false">PRODUTOS!A13</f>
        <v>25594</v>
      </c>
      <c r="B13" s="35" t="str">
        <f aca="false">IF(PRODUTOS!E13="","",PRODUTOS!E13*(1-ICMS_CREDITO))</f>
        <v/>
      </c>
      <c r="C13" s="34" t="n">
        <f aca="false">IF(PRODUTOS!F13="",MARGEM_PADRAO,PRODUTOS!F13)</f>
        <v>0.3</v>
      </c>
      <c r="D13" s="35" t="str">
        <f aca="false">IF(B13="","",ROUND(B13/(1-IMPOSTOS-C13),2))</f>
        <v/>
      </c>
      <c r="E13" s="35" t="str">
        <f aca="false">IF(B13="","",ROUND(B13/(1-IMPOSTOS-C13-TAXA_3X),2))</f>
        <v/>
      </c>
      <c r="F13" s="35" t="str">
        <f aca="false">IF(B13="","",ROUND(B13/(1-IMPOSTOS-C13-TAXA_6X),2))</f>
        <v/>
      </c>
      <c r="G13" s="35" t="str">
        <f aca="false">IF(B13="","",ROUND(B13/(1-IMPOSTOS-C13-TAXA_10X),2))</f>
        <v/>
      </c>
    </row>
    <row r="14" customFormat="false" ht="15.75" hidden="false" customHeight="true" outlineLevel="0" collapsed="false">
      <c r="A14" s="34" t="n">
        <f aca="false">PRODUTOS!A14</f>
        <v>25597</v>
      </c>
      <c r="B14" s="35" t="n">
        <f aca="false">IF(PRODUTOS!E14="","",PRODUTOS!E14*(1-ICMS_CREDITO))</f>
        <v>3164.48</v>
      </c>
      <c r="C14" s="34" t="n">
        <f aca="false">IF(PRODUTOS!F14="",MARGEM_PADRAO,PRODUTOS!F14)</f>
        <v>0.3</v>
      </c>
      <c r="D14" s="35" t="n">
        <f aca="false">IF(B14="","",ROUND(B14/(1-IMPOSTOS-C14),2))</f>
        <v>7180.58</v>
      </c>
      <c r="E14" s="35" t="n">
        <f aca="false">IF(B14="","",ROUND(B14/(1-IMPOSTOS-C14-TAXA_3X),2))</f>
        <v>7977.01</v>
      </c>
      <c r="F14" s="35" t="n">
        <f aca="false">IF(B14="","",ROUND(B14/(1-IMPOSTOS-C14-TAXA_6X),2))</f>
        <v>8409.46</v>
      </c>
      <c r="G14" s="35" t="n">
        <f aca="false">IF(B14="","",ROUND(B14/(1-IMPOSTOS-C14-TAXA_10X),2))</f>
        <v>9522.96</v>
      </c>
    </row>
    <row r="15" customFormat="false" ht="15.75" hidden="false" customHeight="true" outlineLevel="0" collapsed="false">
      <c r="A15" s="34" t="n">
        <f aca="false">PRODUTOS!A15</f>
        <v>25596</v>
      </c>
      <c r="B15" s="35" t="str">
        <f aca="false">IF(PRODUTOS!E15="","",PRODUTOS!E15*(1-ICMS_CREDITO))</f>
        <v/>
      </c>
      <c r="C15" s="34" t="n">
        <f aca="false">IF(PRODUTOS!F15="",MARGEM_PADRAO,PRODUTOS!F15)</f>
        <v>0.3</v>
      </c>
      <c r="D15" s="35" t="str">
        <f aca="false">IF(B15="","",ROUND(B15/(1-IMPOSTOS-C15),2))</f>
        <v/>
      </c>
      <c r="E15" s="35" t="str">
        <f aca="false">IF(B15="","",ROUND(B15/(1-IMPOSTOS-C15-TAXA_3X),2))</f>
        <v/>
      </c>
      <c r="F15" s="35" t="str">
        <f aca="false">IF(B15="","",ROUND(B15/(1-IMPOSTOS-C15-TAXA_6X),2))</f>
        <v/>
      </c>
      <c r="G15" s="35" t="str">
        <f aca="false">IF(B15="","",ROUND(B15/(1-IMPOSTOS-C15-TAXA_10X),2))</f>
        <v/>
      </c>
    </row>
    <row r="16" customFormat="false" ht="15.75" hidden="false" customHeight="true" outlineLevel="0" collapsed="false">
      <c r="A16" s="34" t="n">
        <f aca="false">PRODUTOS!A16</f>
        <v>25872</v>
      </c>
      <c r="B16" s="35" t="n">
        <f aca="false">IF(PRODUTOS!E16="","",PRODUTOS!E16*(1-ICMS_CREDITO))</f>
        <v>4595.36</v>
      </c>
      <c r="C16" s="34" t="n">
        <f aca="false">IF(PRODUTOS!F16="",MARGEM_PADRAO,PRODUTOS!F16)</f>
        <v>0.3</v>
      </c>
      <c r="D16" s="35" t="n">
        <f aca="false">IF(B16="","",ROUND(B16/(1-IMPOSTOS-C16),2))</f>
        <v>10427.41</v>
      </c>
      <c r="E16" s="35" t="n">
        <f aca="false">IF(B16="","",ROUND(B16/(1-IMPOSTOS-C16-TAXA_3X),2))</f>
        <v>11583.97</v>
      </c>
      <c r="F16" s="35" t="n">
        <f aca="false">IF(B16="","",ROUND(B16/(1-IMPOSTOS-C16-TAXA_6X),2))</f>
        <v>12211.96</v>
      </c>
      <c r="G16" s="35" t="n">
        <f aca="false">IF(B16="","",ROUND(B16/(1-IMPOSTOS-C16-TAXA_10X),2))</f>
        <v>13828.95</v>
      </c>
    </row>
    <row r="17" customFormat="false" ht="15.75" hidden="false" customHeight="true" outlineLevel="0" collapsed="false">
      <c r="A17" s="34" t="n">
        <f aca="false">PRODUTOS!A17</f>
        <v>25871</v>
      </c>
      <c r="B17" s="35" t="str">
        <f aca="false">IF(PRODUTOS!E17="","",PRODUTOS!E17*(1-ICMS_CREDITO))</f>
        <v/>
      </c>
      <c r="C17" s="34" t="n">
        <f aca="false">IF(PRODUTOS!F17="",MARGEM_PADRAO,PRODUTOS!F17)</f>
        <v>0.3</v>
      </c>
      <c r="D17" s="35" t="str">
        <f aca="false">IF(B17="","",ROUND(B17/(1-IMPOSTOS-C17),2))</f>
        <v/>
      </c>
      <c r="E17" s="35" t="str">
        <f aca="false">IF(B17="","",ROUND(B17/(1-IMPOSTOS-C17-TAXA_3X),2))</f>
        <v/>
      </c>
      <c r="F17" s="35" t="str">
        <f aca="false">IF(B17="","",ROUND(B17/(1-IMPOSTOS-C17-TAXA_6X),2))</f>
        <v/>
      </c>
      <c r="G17" s="35" t="str">
        <f aca="false">IF(B17="","",ROUND(B17/(1-IMPOSTOS-C17-TAXA_10X),2))</f>
        <v/>
      </c>
    </row>
    <row r="18" customFormat="false" ht="15.75" hidden="false" customHeight="true" outlineLevel="0" collapsed="false">
      <c r="A18" s="34" t="n">
        <f aca="false">PRODUTOS!A18</f>
        <v>25724</v>
      </c>
      <c r="B18" s="35" t="n">
        <f aca="false">IF(PRODUTOS!E18="","",PRODUTOS!E18*(1-ICMS_CREDITO))</f>
        <v>4962.32</v>
      </c>
      <c r="C18" s="34" t="n">
        <f aca="false">IF(PRODUTOS!F18="",MARGEM_PADRAO,PRODUTOS!F18)</f>
        <v>0.3</v>
      </c>
      <c r="D18" s="35" t="n">
        <f aca="false">IF(B18="","",ROUND(B18/(1-IMPOSTOS-C18),2))</f>
        <v>11260.09</v>
      </c>
      <c r="E18" s="35" t="n">
        <f aca="false">IF(B18="","",ROUND(B18/(1-IMPOSTOS-C18-TAXA_3X),2))</f>
        <v>12509</v>
      </c>
      <c r="F18" s="35" t="n">
        <f aca="false">IF(B18="","",ROUND(B18/(1-IMPOSTOS-C18-TAXA_6X),2))</f>
        <v>13187.14</v>
      </c>
      <c r="G18" s="35" t="n">
        <f aca="false">IF(B18="","",ROUND(B18/(1-IMPOSTOS-C18-TAXA_10X),2))</f>
        <v>14933.25</v>
      </c>
    </row>
    <row r="19" customFormat="false" ht="15.75" hidden="false" customHeight="true" outlineLevel="0" collapsed="false">
      <c r="A19" s="34" t="n">
        <f aca="false">PRODUTOS!A19</f>
        <v>25723</v>
      </c>
      <c r="B19" s="35" t="str">
        <f aca="false">IF(PRODUTOS!E19="","",PRODUTOS!E19*(1-ICMS_CREDITO))</f>
        <v/>
      </c>
      <c r="C19" s="34" t="n">
        <f aca="false">IF(PRODUTOS!F19="",MARGEM_PADRAO,PRODUTOS!F19)</f>
        <v>0.3</v>
      </c>
      <c r="D19" s="35" t="str">
        <f aca="false">IF(B19="","",ROUND(B19/(1-IMPOSTOS-C19),2))</f>
        <v/>
      </c>
      <c r="E19" s="35" t="str">
        <f aca="false">IF(B19="","",ROUND(B19/(1-IMPOSTOS-C19-TAXA_3X),2))</f>
        <v/>
      </c>
      <c r="F19" s="35" t="str">
        <f aca="false">IF(B19="","",ROUND(B19/(1-IMPOSTOS-C19-TAXA_6X),2))</f>
        <v/>
      </c>
      <c r="G19" s="35" t="str">
        <f aca="false">IF(B19="","",ROUND(B19/(1-IMPOSTOS-C19-TAXA_10X),2))</f>
        <v/>
      </c>
    </row>
    <row r="20" customFormat="false" ht="15.75" hidden="false" customHeight="true" outlineLevel="0" collapsed="false">
      <c r="A20" s="34" t="n">
        <f aca="false">PRODUTOS!A20</f>
        <v>25928</v>
      </c>
      <c r="B20" s="35" t="n">
        <f aca="false">IF(PRODUTOS!E20="","",PRODUTOS!E20*(1-ICMS_CREDITO))</f>
        <v>6653.68</v>
      </c>
      <c r="C20" s="34" t="n">
        <f aca="false">IF(PRODUTOS!F20="",MARGEM_PADRAO,PRODUTOS!F20)</f>
        <v>0.3</v>
      </c>
      <c r="D20" s="35" t="n">
        <f aca="false">IF(B20="","",ROUND(B20/(1-IMPOSTOS-C20),2))</f>
        <v>15097.98</v>
      </c>
      <c r="E20" s="35" t="n">
        <f aca="false">IF(B20="","",ROUND(B20/(1-IMPOSTOS-C20-TAXA_3X),2))</f>
        <v>16772.57</v>
      </c>
      <c r="F20" s="35" t="n">
        <f aca="false">IF(B20="","",ROUND(B20/(1-IMPOSTOS-C20-TAXA_6X),2))</f>
        <v>17681.85</v>
      </c>
      <c r="G20" s="35" t="n">
        <f aca="false">IF(B20="","",ROUND(B20/(1-IMPOSTOS-C20-TAXA_10X),2))</f>
        <v>20023.11</v>
      </c>
    </row>
    <row r="21" customFormat="false" ht="15.75" hidden="false" customHeight="true" outlineLevel="0" collapsed="false">
      <c r="A21" s="34" t="n">
        <f aca="false">PRODUTOS!A21</f>
        <v>25927</v>
      </c>
      <c r="B21" s="35" t="str">
        <f aca="false">IF(PRODUTOS!E21="","",PRODUTOS!E21*(1-ICMS_CREDITO))</f>
        <v/>
      </c>
      <c r="C21" s="34" t="n">
        <f aca="false">IF(PRODUTOS!F21="",MARGEM_PADRAO,PRODUTOS!F21)</f>
        <v>0.3</v>
      </c>
      <c r="D21" s="35" t="str">
        <f aca="false">IF(B21="","",ROUND(B21/(1-IMPOSTOS-C21),2))</f>
        <v/>
      </c>
      <c r="E21" s="35" t="str">
        <f aca="false">IF(B21="","",ROUND(B21/(1-IMPOSTOS-C21-TAXA_3X),2))</f>
        <v/>
      </c>
      <c r="F21" s="35" t="str">
        <f aca="false">IF(B21="","",ROUND(B21/(1-IMPOSTOS-C21-TAXA_6X),2))</f>
        <v/>
      </c>
      <c r="G21" s="35" t="str">
        <f aca="false">IF(B21="","",ROUND(B21/(1-IMPOSTOS-C21-TAXA_10X),2))</f>
        <v/>
      </c>
    </row>
    <row r="22" customFormat="false" ht="15.75" hidden="false" customHeight="true" outlineLevel="0" collapsed="false">
      <c r="A22" s="34" t="n">
        <f aca="false">PRODUTOS!A22</f>
        <v>27098</v>
      </c>
      <c r="B22" s="35" t="n">
        <f aca="false">IF(PRODUTOS!E22="","",PRODUTOS!E22*(1-ICMS_CREDITO))</f>
        <v>0</v>
      </c>
      <c r="C22" s="34" t="n">
        <f aca="false">IF(PRODUTOS!F22="",MARGEM_PADRAO,PRODUTOS!F22)</f>
        <v>0.3</v>
      </c>
      <c r="D22" s="35" t="n">
        <f aca="false">IF(B22="","",ROUND(B22/(1-IMPOSTOS-C22),2))</f>
        <v>0</v>
      </c>
      <c r="E22" s="35" t="n">
        <f aca="false">IF(B22="","",ROUND(B22/(1-IMPOSTOS-C22-TAXA_3X),2))</f>
        <v>0</v>
      </c>
      <c r="F22" s="35" t="n">
        <f aca="false">IF(B22="","",ROUND(B22/(1-IMPOSTOS-C22-TAXA_6X),2))</f>
        <v>0</v>
      </c>
      <c r="G22" s="35" t="n">
        <f aca="false">IF(B22="","",ROUND(B22/(1-IMPOSTOS-C22-TAXA_10X),2))</f>
        <v>0</v>
      </c>
    </row>
    <row r="23" customFormat="false" ht="15.75" hidden="false" customHeight="true" outlineLevel="0" collapsed="false">
      <c r="A23" s="34" t="n">
        <f aca="false">PRODUTOS!A23</f>
        <v>27099</v>
      </c>
      <c r="B23" s="35" t="str">
        <f aca="false">IF(PRODUTOS!E23="","",PRODUTOS!E23*(1-ICMS_CREDITO))</f>
        <v/>
      </c>
      <c r="C23" s="34" t="n">
        <f aca="false">IF(PRODUTOS!F23="",MARGEM_PADRAO,PRODUTOS!F23)</f>
        <v>0.3</v>
      </c>
      <c r="D23" s="35" t="str">
        <f aca="false">IF(B23="","",ROUND(B23/(1-IMPOSTOS-C23),2))</f>
        <v/>
      </c>
      <c r="E23" s="35" t="str">
        <f aca="false">IF(B23="","",ROUND(B23/(1-IMPOSTOS-C23-TAXA_3X),2))</f>
        <v/>
      </c>
      <c r="F23" s="35" t="str">
        <f aca="false">IF(B23="","",ROUND(B23/(1-IMPOSTOS-C23-TAXA_6X),2))</f>
        <v/>
      </c>
      <c r="G23" s="35" t="str">
        <f aca="false">IF(B23="","",ROUND(B23/(1-IMPOSTOS-C23-TAXA_10X),2))</f>
        <v/>
      </c>
    </row>
    <row r="24" customFormat="false" ht="15.75" hidden="false" customHeight="true" outlineLevel="0" collapsed="false">
      <c r="A24" s="34" t="n">
        <f aca="false">PRODUTOS!A24</f>
        <v>26882</v>
      </c>
      <c r="B24" s="35" t="n">
        <f aca="false">IF(PRODUTOS!E24="","",PRODUTOS!E24*(1-ICMS_CREDITO))</f>
        <v>0</v>
      </c>
      <c r="C24" s="34" t="n">
        <f aca="false">IF(PRODUTOS!F24="",MARGEM_PADRAO,PRODUTOS!F24)</f>
        <v>0.3</v>
      </c>
      <c r="D24" s="35" t="n">
        <f aca="false">IF(B24="","",ROUND(B24/(1-IMPOSTOS-C24),2))</f>
        <v>0</v>
      </c>
      <c r="E24" s="35" t="n">
        <f aca="false">IF(B24="","",ROUND(B24/(1-IMPOSTOS-C24-TAXA_3X),2))</f>
        <v>0</v>
      </c>
      <c r="F24" s="35" t="n">
        <f aca="false">IF(B24="","",ROUND(B24/(1-IMPOSTOS-C24-TAXA_6X),2))</f>
        <v>0</v>
      </c>
      <c r="G24" s="35" t="n">
        <f aca="false">IF(B24="","",ROUND(B24/(1-IMPOSTOS-C24-TAXA_10X),2))</f>
        <v>0</v>
      </c>
    </row>
    <row r="25" customFormat="false" ht="15.75" hidden="false" customHeight="true" outlineLevel="0" collapsed="false">
      <c r="A25" s="34" t="n">
        <f aca="false">PRODUTOS!A25</f>
        <v>26881</v>
      </c>
      <c r="B25" s="35" t="str">
        <f aca="false">IF(PRODUTOS!E25="","",PRODUTOS!E25*(1-ICMS_CREDITO))</f>
        <v/>
      </c>
      <c r="C25" s="34" t="n">
        <f aca="false">IF(PRODUTOS!F25="",MARGEM_PADRAO,PRODUTOS!F25)</f>
        <v>0.3</v>
      </c>
      <c r="D25" s="35" t="str">
        <f aca="false">IF(B25="","",ROUND(B25/(1-IMPOSTOS-C25),2))</f>
        <v/>
      </c>
      <c r="E25" s="35" t="str">
        <f aca="false">IF(B25="","",ROUND(B25/(1-IMPOSTOS-C25-TAXA_3X),2))</f>
        <v/>
      </c>
      <c r="F25" s="35" t="str">
        <f aca="false">IF(B25="","",ROUND(B25/(1-IMPOSTOS-C25-TAXA_6X),2))</f>
        <v/>
      </c>
      <c r="G25" s="35" t="str">
        <f aca="false">IF(B25="","",ROUND(B25/(1-IMPOSTOS-C25-TAXA_10X),2))</f>
        <v/>
      </c>
    </row>
    <row r="26" customFormat="false" ht="15.75" hidden="false" customHeight="true" outlineLevel="0" collapsed="false">
      <c r="A26" s="34" t="n">
        <f aca="false">PRODUTOS!A26</f>
        <v>26834</v>
      </c>
      <c r="B26" s="35" t="str">
        <f aca="false">IF(PRODUTOS!E26="","",PRODUTOS!E26*(1-ICMS_CREDITO))</f>
        <v/>
      </c>
      <c r="C26" s="34" t="n">
        <f aca="false">IF(PRODUTOS!F26="",MARGEM_PADRAO,PRODUTOS!F26)</f>
        <v>0.3</v>
      </c>
      <c r="D26" s="35" t="str">
        <f aca="false">IF(B26="","",ROUND(B26/(1-IMPOSTOS-C26),2))</f>
        <v/>
      </c>
      <c r="E26" s="35" t="str">
        <f aca="false">IF(B26="","",ROUND(B26/(1-IMPOSTOS-C26-TAXA_3X),2))</f>
        <v/>
      </c>
      <c r="F26" s="35" t="str">
        <f aca="false">IF(B26="","",ROUND(B26/(1-IMPOSTOS-C26-TAXA_6X),2))</f>
        <v/>
      </c>
      <c r="G26" s="35" t="str">
        <f aca="false">IF(B26="","",ROUND(B26/(1-IMPOSTOS-C26-TAXA_10X),2))</f>
        <v/>
      </c>
    </row>
    <row r="27" customFormat="false" ht="15.75" hidden="false" customHeight="true" outlineLevel="0" collapsed="false">
      <c r="A27" s="34" t="n">
        <f aca="false">PRODUTOS!A27</f>
        <v>26890</v>
      </c>
      <c r="B27" s="35" t="n">
        <f aca="false">IF(PRODUTOS!E27="","",PRODUTOS!E27*(1-ICMS_CREDITO))</f>
        <v>0</v>
      </c>
      <c r="C27" s="34" t="n">
        <f aca="false">IF(PRODUTOS!F27="",MARGEM_PADRAO,PRODUTOS!F27)</f>
        <v>0.3</v>
      </c>
      <c r="D27" s="35" t="n">
        <f aca="false">IF(B27="","",ROUND(B27/(1-IMPOSTOS-C27),2))</f>
        <v>0</v>
      </c>
      <c r="E27" s="35" t="n">
        <f aca="false">IF(B27="","",ROUND(B27/(1-IMPOSTOS-C27-TAXA_3X),2))</f>
        <v>0</v>
      </c>
      <c r="F27" s="35" t="n">
        <f aca="false">IF(B27="","",ROUND(B27/(1-IMPOSTOS-C27-TAXA_6X),2))</f>
        <v>0</v>
      </c>
      <c r="G27" s="35" t="n">
        <f aca="false">IF(B27="","",ROUND(B27/(1-IMPOSTOS-C27-TAXA_10X),2))</f>
        <v>0</v>
      </c>
    </row>
    <row r="28" customFormat="false" ht="15.75" hidden="false" customHeight="true" outlineLevel="0" collapsed="false">
      <c r="A28" s="34" t="n">
        <f aca="false">PRODUTOS!A28</f>
        <v>26891</v>
      </c>
      <c r="B28" s="35" t="str">
        <f aca="false">IF(PRODUTOS!E28="","",PRODUTOS!E28*(1-ICMS_CREDITO))</f>
        <v/>
      </c>
      <c r="C28" s="34" t="n">
        <f aca="false">IF(PRODUTOS!F28="",MARGEM_PADRAO,PRODUTOS!F28)</f>
        <v>0.3</v>
      </c>
      <c r="D28" s="35" t="str">
        <f aca="false">IF(B28="","",ROUND(B28/(1-IMPOSTOS-C28),2))</f>
        <v/>
      </c>
      <c r="E28" s="35" t="str">
        <f aca="false">IF(B28="","",ROUND(B28/(1-IMPOSTOS-C28-TAXA_3X),2))</f>
        <v/>
      </c>
      <c r="F28" s="35" t="str">
        <f aca="false">IF(B28="","",ROUND(B28/(1-IMPOSTOS-C28-TAXA_6X),2))</f>
        <v/>
      </c>
      <c r="G28" s="35" t="str">
        <f aca="false">IF(B28="","",ROUND(B28/(1-IMPOSTOS-C28-TAXA_10X),2))</f>
        <v/>
      </c>
    </row>
    <row r="29" customFormat="false" ht="15.75" hidden="false" customHeight="true" outlineLevel="0" collapsed="false">
      <c r="A29" s="34" t="n">
        <f aca="false">PRODUTOS!A29</f>
        <v>26834</v>
      </c>
      <c r="B29" s="35" t="str">
        <f aca="false">IF(PRODUTOS!E29="","",PRODUTOS!E29*(1-ICMS_CREDITO))</f>
        <v/>
      </c>
      <c r="C29" s="34" t="n">
        <f aca="false">IF(PRODUTOS!F29="",MARGEM_PADRAO,PRODUTOS!F29)</f>
        <v>0.3</v>
      </c>
      <c r="D29" s="35" t="str">
        <f aca="false">IF(B29="","",ROUND(B29/(1-IMPOSTOS-C29),2))</f>
        <v/>
      </c>
      <c r="E29" s="35" t="str">
        <f aca="false">IF(B29="","",ROUND(B29/(1-IMPOSTOS-C29-TAXA_3X),2))</f>
        <v/>
      </c>
      <c r="F29" s="35" t="str">
        <f aca="false">IF(B29="","",ROUND(B29/(1-IMPOSTOS-C29-TAXA_6X),2))</f>
        <v/>
      </c>
      <c r="G29" s="35" t="str">
        <f aca="false">IF(B29="","",ROUND(B29/(1-IMPOSTOS-C29-TAXA_10X),2))</f>
        <v/>
      </c>
    </row>
    <row r="30" customFormat="false" ht="15.75" hidden="false" customHeight="true" outlineLevel="0" collapsed="false">
      <c r="A30" s="34" t="n">
        <f aca="false">PRODUTOS!A30</f>
        <v>26892</v>
      </c>
      <c r="B30" s="35" t="n">
        <f aca="false">IF(PRODUTOS!E30="","",PRODUTOS!E30*(1-ICMS_CREDITO))</f>
        <v>0</v>
      </c>
      <c r="C30" s="34" t="n">
        <f aca="false">IF(PRODUTOS!F30="",MARGEM_PADRAO,PRODUTOS!F30)</f>
        <v>0.3</v>
      </c>
      <c r="D30" s="35" t="n">
        <f aca="false">IF(B30="","",ROUND(B30/(1-IMPOSTOS-C30),2))</f>
        <v>0</v>
      </c>
      <c r="E30" s="35" t="n">
        <f aca="false">IF(B30="","",ROUND(B30/(1-IMPOSTOS-C30-TAXA_3X),2))</f>
        <v>0</v>
      </c>
      <c r="F30" s="35" t="n">
        <f aca="false">IF(B30="","",ROUND(B30/(1-IMPOSTOS-C30-TAXA_6X),2))</f>
        <v>0</v>
      </c>
      <c r="G30" s="35" t="n">
        <f aca="false">IF(B30="","",ROUND(B30/(1-IMPOSTOS-C30-TAXA_10X),2))</f>
        <v>0</v>
      </c>
    </row>
    <row r="31" customFormat="false" ht="15.75" hidden="false" customHeight="true" outlineLevel="0" collapsed="false">
      <c r="A31" s="34" t="n">
        <f aca="false">PRODUTOS!A31</f>
        <v>26893</v>
      </c>
      <c r="B31" s="35" t="str">
        <f aca="false">IF(PRODUTOS!E31="","",PRODUTOS!E31*(1-ICMS_CREDITO))</f>
        <v/>
      </c>
      <c r="C31" s="34" t="n">
        <f aca="false">IF(PRODUTOS!F31="",MARGEM_PADRAO,PRODUTOS!F31)</f>
        <v>0.3</v>
      </c>
      <c r="D31" s="35" t="str">
        <f aca="false">IF(B31="","",ROUND(B31/(1-IMPOSTOS-C31),2))</f>
        <v/>
      </c>
      <c r="E31" s="35" t="str">
        <f aca="false">IF(B31="","",ROUND(B31/(1-IMPOSTOS-C31-TAXA_3X),2))</f>
        <v/>
      </c>
      <c r="F31" s="35" t="str">
        <f aca="false">IF(B31="","",ROUND(B31/(1-IMPOSTOS-C31-TAXA_6X),2))</f>
        <v/>
      </c>
      <c r="G31" s="35" t="str">
        <f aca="false">IF(B31="","",ROUND(B31/(1-IMPOSTOS-C31-TAXA_10X),2))</f>
        <v/>
      </c>
    </row>
    <row r="32" customFormat="false" ht="15.75" hidden="false" customHeight="true" outlineLevel="0" collapsed="false">
      <c r="A32" s="34" t="n">
        <f aca="false">PRODUTOS!A32</f>
        <v>26834</v>
      </c>
      <c r="B32" s="35" t="str">
        <f aca="false">IF(PRODUTOS!E32="","",PRODUTOS!E32*(1-ICMS_CREDITO))</f>
        <v/>
      </c>
      <c r="C32" s="34" t="n">
        <f aca="false">IF(PRODUTOS!F32="",MARGEM_PADRAO,PRODUTOS!F32)</f>
        <v>0.3</v>
      </c>
      <c r="D32" s="35" t="str">
        <f aca="false">IF(B32="","",ROUND(B32/(1-IMPOSTOS-C32),2))</f>
        <v/>
      </c>
      <c r="E32" s="35" t="str">
        <f aca="false">IF(B32="","",ROUND(B32/(1-IMPOSTOS-C32-TAXA_3X),2))</f>
        <v/>
      </c>
      <c r="F32" s="35" t="str">
        <f aca="false">IF(B32="","",ROUND(B32/(1-IMPOSTOS-C32-TAXA_6X),2))</f>
        <v/>
      </c>
      <c r="G32" s="35" t="str">
        <f aca="false">IF(B32="","",ROUND(B32/(1-IMPOSTOS-C32-TAXA_10X),2))</f>
        <v/>
      </c>
    </row>
    <row r="33" customFormat="false" ht="15.75" hidden="false" customHeight="true" outlineLevel="0" collapsed="false">
      <c r="A33" s="34" t="n">
        <f aca="false">PRODUTOS!A33</f>
        <v>25721</v>
      </c>
      <c r="B33" s="35" t="n">
        <f aca="false">IF(PRODUTOS!E33="","",PRODUTOS!E33*(1-ICMS_CREDITO))</f>
        <v>3976.72</v>
      </c>
      <c r="C33" s="34" t="n">
        <f aca="false">IF(PRODUTOS!F33="",MARGEM_PADRAO,PRODUTOS!F33)</f>
        <v>0.3</v>
      </c>
      <c r="D33" s="35" t="n">
        <f aca="false">IF(B33="","",ROUND(B33/(1-IMPOSTOS-C33),2))</f>
        <v>9023.64</v>
      </c>
      <c r="E33" s="35" t="n">
        <f aca="false">IF(B33="","",ROUND(B33/(1-IMPOSTOS-C33-TAXA_3X),2))</f>
        <v>10024.5</v>
      </c>
      <c r="F33" s="35" t="n">
        <f aca="false">IF(B33="","",ROUND(B33/(1-IMPOSTOS-C33-TAXA_6X),2))</f>
        <v>10567.95</v>
      </c>
      <c r="G33" s="35" t="n">
        <f aca="false">IF(B33="","",ROUND(B33/(1-IMPOSTOS-C33-TAXA_10X),2))</f>
        <v>11967.26</v>
      </c>
    </row>
    <row r="34" customFormat="false" ht="15.75" hidden="false" customHeight="true" outlineLevel="0" collapsed="false">
      <c r="A34" s="34" t="n">
        <f aca="false">PRODUTOS!A34</f>
        <v>25720</v>
      </c>
      <c r="B34" s="35" t="str">
        <f aca="false">IF(PRODUTOS!E34="","",PRODUTOS!E34*(1-ICMS_CREDITO))</f>
        <v/>
      </c>
      <c r="C34" s="34" t="n">
        <f aca="false">IF(PRODUTOS!F34="",MARGEM_PADRAO,PRODUTOS!F34)</f>
        <v>0.3</v>
      </c>
      <c r="D34" s="35" t="str">
        <f aca="false">IF(B34="","",ROUND(B34/(1-IMPOSTOS-C34),2))</f>
        <v/>
      </c>
      <c r="E34" s="35" t="str">
        <f aca="false">IF(B34="","",ROUND(B34/(1-IMPOSTOS-C34-TAXA_3X),2))</f>
        <v/>
      </c>
      <c r="F34" s="35" t="str">
        <f aca="false">IF(B34="","",ROUND(B34/(1-IMPOSTOS-C34-TAXA_6X),2))</f>
        <v/>
      </c>
      <c r="G34" s="35" t="str">
        <f aca="false">IF(B34="","",ROUND(B34/(1-IMPOSTOS-C34-TAXA_10X),2))</f>
        <v/>
      </c>
    </row>
    <row r="35" customFormat="false" ht="15.75" hidden="false" customHeight="true" outlineLevel="0" collapsed="false">
      <c r="A35" s="34" t="n">
        <f aca="false">PRODUTOS!A35</f>
        <v>25722</v>
      </c>
      <c r="B35" s="35" t="str">
        <f aca="false">IF(PRODUTOS!E35="","",PRODUTOS!E35*(1-ICMS_CREDITO))</f>
        <v/>
      </c>
      <c r="C35" s="34" t="n">
        <f aca="false">IF(PRODUTOS!F35="",MARGEM_PADRAO,PRODUTOS!F35)</f>
        <v>0.3</v>
      </c>
      <c r="D35" s="35" t="str">
        <f aca="false">IF(B35="","",ROUND(B35/(1-IMPOSTOS-C35),2))</f>
        <v/>
      </c>
      <c r="E35" s="35" t="str">
        <f aca="false">IF(B35="","",ROUND(B35/(1-IMPOSTOS-C35-TAXA_3X),2))</f>
        <v/>
      </c>
      <c r="F35" s="35" t="str">
        <f aca="false">IF(B35="","",ROUND(B35/(1-IMPOSTOS-C35-TAXA_6X),2))</f>
        <v/>
      </c>
      <c r="G35" s="35" t="str">
        <f aca="false">IF(B35="","",ROUND(B35/(1-IMPOSTOS-C35-TAXA_10X),2))</f>
        <v/>
      </c>
    </row>
    <row r="36" customFormat="false" ht="15.75" hidden="false" customHeight="true" outlineLevel="0" collapsed="false">
      <c r="A36" s="34" t="n">
        <f aca="false">PRODUTOS!A36</f>
        <v>25937</v>
      </c>
      <c r="B36" s="35" t="n">
        <f aca="false">IF(PRODUTOS!E36="","",PRODUTOS!E36*(1-ICMS_CREDITO))</f>
        <v>3976.72</v>
      </c>
      <c r="C36" s="34" t="n">
        <f aca="false">IF(PRODUTOS!F36="",MARGEM_PADRAO,PRODUTOS!F36)</f>
        <v>0.3</v>
      </c>
      <c r="D36" s="35" t="n">
        <f aca="false">IF(B36="","",ROUND(B36/(1-IMPOSTOS-C36),2))</f>
        <v>9023.64</v>
      </c>
      <c r="E36" s="35" t="n">
        <f aca="false">IF(B36="","",ROUND(B36/(1-IMPOSTOS-C36-TAXA_3X),2))</f>
        <v>10024.5</v>
      </c>
      <c r="F36" s="35" t="n">
        <f aca="false">IF(B36="","",ROUND(B36/(1-IMPOSTOS-C36-TAXA_6X),2))</f>
        <v>10567.95</v>
      </c>
      <c r="G36" s="35" t="n">
        <f aca="false">IF(B36="","",ROUND(B36/(1-IMPOSTOS-C36-TAXA_10X),2))</f>
        <v>11967.26</v>
      </c>
    </row>
    <row r="37" customFormat="false" ht="15.75" hidden="false" customHeight="true" outlineLevel="0" collapsed="false">
      <c r="A37" s="34" t="n">
        <f aca="false">PRODUTOS!A37</f>
        <v>25936</v>
      </c>
      <c r="B37" s="35" t="str">
        <f aca="false">IF(PRODUTOS!E37="","",PRODUTOS!E37*(1-ICMS_CREDITO))</f>
        <v/>
      </c>
      <c r="C37" s="34" t="n">
        <f aca="false">IF(PRODUTOS!F37="",MARGEM_PADRAO,PRODUTOS!F37)</f>
        <v>0.3</v>
      </c>
      <c r="D37" s="35" t="str">
        <f aca="false">IF(B37="","",ROUND(B37/(1-IMPOSTOS-C37),2))</f>
        <v/>
      </c>
      <c r="E37" s="35" t="str">
        <f aca="false">IF(B37="","",ROUND(B37/(1-IMPOSTOS-C37-TAXA_3X),2))</f>
        <v/>
      </c>
      <c r="F37" s="35" t="str">
        <f aca="false">IF(B37="","",ROUND(B37/(1-IMPOSTOS-C37-TAXA_6X),2))</f>
        <v/>
      </c>
      <c r="G37" s="35" t="str">
        <f aca="false">IF(B37="","",ROUND(B37/(1-IMPOSTOS-C37-TAXA_10X),2))</f>
        <v/>
      </c>
    </row>
    <row r="38" customFormat="false" ht="15.75" hidden="false" customHeight="true" outlineLevel="0" collapsed="false">
      <c r="A38" s="34" t="n">
        <f aca="false">PRODUTOS!A38</f>
        <v>25938</v>
      </c>
      <c r="B38" s="35" t="str">
        <f aca="false">IF(PRODUTOS!E38="","",PRODUTOS!E38*(1-ICMS_CREDITO))</f>
        <v/>
      </c>
      <c r="C38" s="34" t="n">
        <f aca="false">IF(PRODUTOS!F38="",MARGEM_PADRAO,PRODUTOS!F38)</f>
        <v>0.3</v>
      </c>
      <c r="D38" s="35" t="str">
        <f aca="false">IF(B38="","",ROUND(B38/(1-IMPOSTOS-C38),2))</f>
        <v/>
      </c>
      <c r="E38" s="35" t="str">
        <f aca="false">IF(B38="","",ROUND(B38/(1-IMPOSTOS-C38-TAXA_3X),2))</f>
        <v/>
      </c>
      <c r="F38" s="35" t="str">
        <f aca="false">IF(B38="","",ROUND(B38/(1-IMPOSTOS-C38-TAXA_6X),2))</f>
        <v/>
      </c>
      <c r="G38" s="35" t="str">
        <f aca="false">IF(B38="","",ROUND(B38/(1-IMPOSTOS-C38-TAXA_10X),2))</f>
        <v/>
      </c>
    </row>
    <row r="39" customFormat="false" ht="15.75" hidden="false" customHeight="true" outlineLevel="0" collapsed="false">
      <c r="A39" s="34" t="n">
        <f aca="false">PRODUTOS!A39</f>
        <v>25930</v>
      </c>
      <c r="B39" s="35" t="n">
        <f aca="false">IF(PRODUTOS!E39="","",PRODUTOS!E39*(1-ICMS_CREDITO))</f>
        <v>6143.28</v>
      </c>
      <c r="C39" s="34" t="n">
        <f aca="false">IF(PRODUTOS!F39="",MARGEM_PADRAO,PRODUTOS!F39)</f>
        <v>0.3</v>
      </c>
      <c r="D39" s="35" t="n">
        <f aca="false">IF(B39="","",ROUND(B39/(1-IMPOSTOS-C39),2))</f>
        <v>13939.82</v>
      </c>
      <c r="E39" s="35" t="n">
        <f aca="false">IF(B39="","",ROUND(B39/(1-IMPOSTOS-C39-TAXA_3X),2))</f>
        <v>15485.96</v>
      </c>
      <c r="F39" s="35" t="n">
        <f aca="false">IF(B39="","",ROUND(B39/(1-IMPOSTOS-C39-TAXA_6X),2))</f>
        <v>16325.48</v>
      </c>
      <c r="G39" s="35" t="n">
        <f aca="false">IF(B39="","",ROUND(B39/(1-IMPOSTOS-C39-TAXA_10X),2))</f>
        <v>18487.15</v>
      </c>
    </row>
    <row r="40" customFormat="false" ht="15.75" hidden="false" customHeight="true" outlineLevel="0" collapsed="false">
      <c r="A40" s="34" t="n">
        <f aca="false">PRODUTOS!A40</f>
        <v>25929</v>
      </c>
      <c r="B40" s="35" t="str">
        <f aca="false">IF(PRODUTOS!E40="","",PRODUTOS!E40*(1-ICMS_CREDITO))</f>
        <v/>
      </c>
      <c r="C40" s="34" t="n">
        <f aca="false">IF(PRODUTOS!F40="",MARGEM_PADRAO,PRODUTOS!F40)</f>
        <v>0.3</v>
      </c>
      <c r="D40" s="35" t="str">
        <f aca="false">IF(B40="","",ROUND(B40/(1-IMPOSTOS-C40),2))</f>
        <v/>
      </c>
      <c r="E40" s="35" t="str">
        <f aca="false">IF(B40="","",ROUND(B40/(1-IMPOSTOS-C40-TAXA_3X),2))</f>
        <v/>
      </c>
      <c r="F40" s="35" t="str">
        <f aca="false">IF(B40="","",ROUND(B40/(1-IMPOSTOS-C40-TAXA_6X),2))</f>
        <v/>
      </c>
      <c r="G40" s="35" t="str">
        <f aca="false">IF(B40="","",ROUND(B40/(1-IMPOSTOS-C40-TAXA_10X),2))</f>
        <v/>
      </c>
    </row>
    <row r="41" customFormat="false" ht="15.75" hidden="false" customHeight="true" outlineLevel="0" collapsed="false">
      <c r="A41" s="34" t="n">
        <f aca="false">PRODUTOS!A41</f>
        <v>25931</v>
      </c>
      <c r="B41" s="35" t="str">
        <f aca="false">IF(PRODUTOS!E41="","",PRODUTOS!E41*(1-ICMS_CREDITO))</f>
        <v/>
      </c>
      <c r="C41" s="34" t="n">
        <f aca="false">IF(PRODUTOS!F41="",MARGEM_PADRAO,PRODUTOS!F41)</f>
        <v>0.3</v>
      </c>
      <c r="D41" s="35" t="str">
        <f aca="false">IF(B41="","",ROUND(B41/(1-IMPOSTOS-C41),2))</f>
        <v/>
      </c>
      <c r="E41" s="35" t="str">
        <f aca="false">IF(B41="","",ROUND(B41/(1-IMPOSTOS-C41-TAXA_3X),2))</f>
        <v/>
      </c>
      <c r="F41" s="35" t="str">
        <f aca="false">IF(B41="","",ROUND(B41/(1-IMPOSTOS-C41-TAXA_6X),2))</f>
        <v/>
      </c>
      <c r="G41" s="35" t="str">
        <f aca="false">IF(B41="","",ROUND(B41/(1-IMPOSTOS-C41-TAXA_10X),2))</f>
        <v/>
      </c>
    </row>
    <row r="42" customFormat="false" ht="15.75" hidden="false" customHeight="true" outlineLevel="0" collapsed="false">
      <c r="A42" s="34" t="n">
        <f aca="false">PRODUTOS!A42</f>
        <v>25924</v>
      </c>
      <c r="B42" s="35" t="n">
        <f aca="false">IF(PRODUTOS!E42="","",PRODUTOS!E42*(1-ICMS_CREDITO))</f>
        <v>737.1936</v>
      </c>
      <c r="C42" s="34" t="n">
        <f aca="false">IF(PRODUTOS!F42="",MARGEM_PADRAO,PRODUTOS!F42)</f>
        <v>0.3</v>
      </c>
      <c r="D42" s="35" t="n">
        <f aca="false">IF(B42="","",ROUND(B42/(1-IMPOSTOS-C42),2))</f>
        <v>1672.78</v>
      </c>
      <c r="E42" s="35" t="n">
        <f aca="false">IF(B42="","",ROUND(B42/(1-IMPOSTOS-C42-TAXA_3X),2))</f>
        <v>1858.32</v>
      </c>
      <c r="F42" s="35" t="n">
        <f aca="false">IF(B42="","",ROUND(B42/(1-IMPOSTOS-C42-TAXA_6X),2))</f>
        <v>1959.06</v>
      </c>
      <c r="G42" s="35" t="n">
        <f aca="false">IF(B42="","",ROUND(B42/(1-IMPOSTOS-C42-TAXA_10X),2))</f>
        <v>2218.46</v>
      </c>
    </row>
    <row r="43" customFormat="false" ht="15.75" hidden="false" customHeight="true" outlineLevel="0" collapsed="false">
      <c r="A43" s="34" t="n">
        <f aca="false">PRODUTOS!A43</f>
        <v>25923</v>
      </c>
      <c r="B43" s="35" t="str">
        <f aca="false">IF(PRODUTOS!E43="","",PRODUTOS!E43*(1-ICMS_CREDITO))</f>
        <v/>
      </c>
      <c r="C43" s="34" t="n">
        <f aca="false">IF(PRODUTOS!F43="",MARGEM_PADRAO,PRODUTOS!F43)</f>
        <v>0.3</v>
      </c>
      <c r="D43" s="35" t="str">
        <f aca="false">IF(B43="","",ROUND(B43/(1-IMPOSTOS-C43),2))</f>
        <v/>
      </c>
      <c r="E43" s="35" t="str">
        <f aca="false">IF(B43="","",ROUND(B43/(1-IMPOSTOS-C43-TAXA_3X),2))</f>
        <v/>
      </c>
      <c r="F43" s="35" t="str">
        <f aca="false">IF(B43="","",ROUND(B43/(1-IMPOSTOS-C43-TAXA_6X),2))</f>
        <v/>
      </c>
      <c r="G43" s="35" t="str">
        <f aca="false">IF(B43="","",ROUND(B43/(1-IMPOSTOS-C43-TAXA_10X),2))</f>
        <v/>
      </c>
    </row>
    <row r="44" customFormat="false" ht="15.75" hidden="false" customHeight="true" outlineLevel="0" collapsed="false">
      <c r="A44" s="34" t="n">
        <f aca="false">PRODUTOS!A44</f>
        <v>25925</v>
      </c>
      <c r="B44" s="35" t="str">
        <f aca="false">IF(PRODUTOS!E44="","",PRODUTOS!E44*(1-ICMS_CREDITO))</f>
        <v/>
      </c>
      <c r="C44" s="34" t="n">
        <f aca="false">IF(PRODUTOS!F44="",MARGEM_PADRAO,PRODUTOS!F44)</f>
        <v>0.3</v>
      </c>
      <c r="D44" s="35" t="str">
        <f aca="false">IF(B44="","",ROUND(B44/(1-IMPOSTOS-C44),2))</f>
        <v/>
      </c>
      <c r="E44" s="35" t="str">
        <f aca="false">IF(B44="","",ROUND(B44/(1-IMPOSTOS-C44-TAXA_3X),2))</f>
        <v/>
      </c>
      <c r="F44" s="35" t="str">
        <f aca="false">IF(B44="","",ROUND(B44/(1-IMPOSTOS-C44-TAXA_6X),2))</f>
        <v/>
      </c>
      <c r="G44" s="35" t="str">
        <f aca="false">IF(B44="","",ROUND(B44/(1-IMPOSTOS-C44-TAXA_10X),2))</f>
        <v/>
      </c>
    </row>
    <row r="45" customFormat="false" ht="15.75" hidden="false" customHeight="true" outlineLevel="0" collapsed="false">
      <c r="A45" s="34" t="n">
        <f aca="false">PRODUTOS!A45</f>
        <v>23392</v>
      </c>
      <c r="B45" s="35" t="n">
        <f aca="false">IF(PRODUTOS!E45="","",PRODUTOS!E45*(1-ICMS_CREDITO))</f>
        <v>0</v>
      </c>
      <c r="C45" s="34" t="n">
        <f aca="false">IF(PRODUTOS!F45="",MARGEM_PADRAO,PRODUTOS!F45)</f>
        <v>0.3</v>
      </c>
      <c r="D45" s="35" t="n">
        <f aca="false">IF(B45="","",ROUND(B45/(1-IMPOSTOS-C45),2))</f>
        <v>0</v>
      </c>
      <c r="E45" s="35" t="n">
        <f aca="false">IF(B45="","",ROUND(B45/(1-IMPOSTOS-C45-TAXA_3X),2))</f>
        <v>0</v>
      </c>
      <c r="F45" s="35" t="n">
        <f aca="false">IF(B45="","",ROUND(B45/(1-IMPOSTOS-C45-TAXA_6X),2))</f>
        <v>0</v>
      </c>
      <c r="G45" s="35" t="n">
        <f aca="false">IF(B45="","",ROUND(B45/(1-IMPOSTOS-C45-TAXA_10X),2))</f>
        <v>0</v>
      </c>
    </row>
    <row r="46" customFormat="false" ht="15.75" hidden="false" customHeight="true" outlineLevel="0" collapsed="false">
      <c r="A46" s="34" t="n">
        <f aca="false">PRODUTOS!A46</f>
        <v>23391</v>
      </c>
      <c r="B46" s="35" t="str">
        <f aca="false">IF(PRODUTOS!E46="","",PRODUTOS!E46*(1-ICMS_CREDITO))</f>
        <v/>
      </c>
      <c r="C46" s="34" t="n">
        <f aca="false">IF(PRODUTOS!F46="",MARGEM_PADRAO,PRODUTOS!F46)</f>
        <v>0.3</v>
      </c>
      <c r="D46" s="35" t="str">
        <f aca="false">IF(B46="","",ROUND(B46/(1-IMPOSTOS-C46),2))</f>
        <v/>
      </c>
      <c r="E46" s="35" t="str">
        <f aca="false">IF(B46="","",ROUND(B46/(1-IMPOSTOS-C46-TAXA_3X),2))</f>
        <v/>
      </c>
      <c r="F46" s="35" t="str">
        <f aca="false">IF(B46="","",ROUND(B46/(1-IMPOSTOS-C46-TAXA_6X),2))</f>
        <v/>
      </c>
      <c r="G46" s="35" t="str">
        <f aca="false">IF(B46="","",ROUND(B46/(1-IMPOSTOS-C46-TAXA_10X),2))</f>
        <v/>
      </c>
    </row>
    <row r="47" customFormat="false" ht="15.75" hidden="false" customHeight="true" outlineLevel="0" collapsed="false">
      <c r="A47" s="34" t="n">
        <f aca="false">PRODUTOS!A47</f>
        <v>0</v>
      </c>
      <c r="B47" s="35" t="str">
        <f aca="false">IF(PRODUTOS!E47="","",PRODUTOS!E47*(1-ICMS_CREDITO))</f>
        <v/>
      </c>
      <c r="C47" s="34" t="n">
        <f aca="false">IF(PRODUTOS!F47="",MARGEM_PADRAO,PRODUTOS!F47)</f>
        <v>0.3</v>
      </c>
      <c r="D47" s="35" t="str">
        <f aca="false">IF(B47="","",ROUND(B47/(1-IMPOSTOS-C47),2))</f>
        <v/>
      </c>
      <c r="E47" s="35" t="str">
        <f aca="false">IF(B47="","",ROUND(B47/(1-IMPOSTOS-C47-TAXA_3X),2))</f>
        <v/>
      </c>
      <c r="F47" s="35" t="str">
        <f aca="false">IF(B47="","",ROUND(B47/(1-IMPOSTOS-C47-TAXA_6X),2))</f>
        <v/>
      </c>
      <c r="G47" s="35" t="str">
        <f aca="false">IF(B47="","",ROUND(B47/(1-IMPOSTOS-C47-TAXA_10X),2))</f>
        <v/>
      </c>
    </row>
    <row r="48" customFormat="false" ht="15.75" hidden="false" customHeight="true" outlineLevel="0" collapsed="false">
      <c r="A48" s="34" t="n">
        <f aca="false">PRODUTOS!A48</f>
        <v>0</v>
      </c>
      <c r="B48" s="35" t="str">
        <f aca="false">IF(PRODUTOS!E48="","",PRODUTOS!E48*(1-ICMS_CREDITO))</f>
        <v/>
      </c>
      <c r="C48" s="34" t="n">
        <f aca="false">IF(PRODUTOS!F48="",MARGEM_PADRAO,PRODUTOS!F48)</f>
        <v>0.3</v>
      </c>
      <c r="D48" s="35" t="str">
        <f aca="false">IF(B48="","",ROUND(B48/(1-IMPOSTOS-C48),2))</f>
        <v/>
      </c>
      <c r="E48" s="35" t="str">
        <f aca="false">IF(B48="","",ROUND(B48/(1-IMPOSTOS-C48-TAXA_3X),2))</f>
        <v/>
      </c>
      <c r="F48" s="35" t="str">
        <f aca="false">IF(B48="","",ROUND(B48/(1-IMPOSTOS-C48-TAXA_6X),2))</f>
        <v/>
      </c>
      <c r="G48" s="35" t="str">
        <f aca="false">IF(B48="","",ROUND(B48/(1-IMPOSTOS-C48-TAXA_10X),2))</f>
        <v/>
      </c>
    </row>
    <row r="49" customFormat="false" ht="15.75" hidden="false" customHeight="true" outlineLevel="0" collapsed="false">
      <c r="A49" s="34" t="n">
        <f aca="false">PRODUTOS!A49</f>
        <v>0</v>
      </c>
      <c r="B49" s="35" t="str">
        <f aca="false">IF(PRODUTOS!E49="","",PRODUTOS!E49*(1-ICMS_CREDITO))</f>
        <v/>
      </c>
      <c r="C49" s="34" t="n">
        <f aca="false">IF(PRODUTOS!F49="",MARGEM_PADRAO,PRODUTOS!F49)</f>
        <v>0.3</v>
      </c>
      <c r="D49" s="35" t="str">
        <f aca="false">IF(B49="","",ROUND(B49/(1-IMPOSTOS-C49),2))</f>
        <v/>
      </c>
      <c r="E49" s="35" t="str">
        <f aca="false">IF(B49="","",ROUND(B49/(1-IMPOSTOS-C49-TAXA_3X),2))</f>
        <v/>
      </c>
      <c r="F49" s="35" t="str">
        <f aca="false">IF(B49="","",ROUND(B49/(1-IMPOSTOS-C49-TAXA_6X),2))</f>
        <v/>
      </c>
      <c r="G49" s="35" t="str">
        <f aca="false">IF(B49="","",ROUND(B49/(1-IMPOSTOS-C49-TAXA_10X),2))</f>
        <v/>
      </c>
    </row>
    <row r="50" customFormat="false" ht="15.75" hidden="false" customHeight="true" outlineLevel="0" collapsed="false">
      <c r="A50" s="34" t="n">
        <f aca="false">PRODUTOS!A50</f>
        <v>0</v>
      </c>
      <c r="B50" s="35" t="str">
        <f aca="false">IF(PRODUTOS!E50="","",PRODUTOS!E50*(1-ICMS_CREDITO))</f>
        <v/>
      </c>
      <c r="C50" s="34" t="n">
        <f aca="false">IF(PRODUTOS!F50="",MARGEM_PADRAO,PRODUTOS!F50)</f>
        <v>0.3</v>
      </c>
      <c r="D50" s="35" t="str">
        <f aca="false">IF(B50="","",ROUND(B50/(1-IMPOSTOS-C50),2))</f>
        <v/>
      </c>
      <c r="E50" s="35" t="str">
        <f aca="false">IF(B50="","",ROUND(B50/(1-IMPOSTOS-C50-TAXA_3X),2))</f>
        <v/>
      </c>
      <c r="F50" s="35" t="str">
        <f aca="false">IF(B50="","",ROUND(B50/(1-IMPOSTOS-C50-TAXA_6X),2))</f>
        <v/>
      </c>
      <c r="G50" s="35" t="str">
        <f aca="false">IF(B50="","",ROUND(B50/(1-IMPOSTOS-C50-TAXA_10X),2))</f>
        <v/>
      </c>
    </row>
    <row r="51" customFormat="false" ht="15.75" hidden="false" customHeight="true" outlineLevel="0" collapsed="false">
      <c r="A51" s="34" t="n">
        <f aca="false">PRODUTOS!A51</f>
        <v>0</v>
      </c>
      <c r="B51" s="35" t="str">
        <f aca="false">IF(PRODUTOS!E51="","",PRODUTOS!E51*(1-ICMS_CREDITO))</f>
        <v/>
      </c>
      <c r="C51" s="34" t="n">
        <f aca="false">IF(PRODUTOS!F51="",MARGEM_PADRAO,PRODUTOS!F51)</f>
        <v>0.3</v>
      </c>
      <c r="D51" s="35" t="str">
        <f aca="false">IF(B51="","",ROUND(B51/(1-IMPOSTOS-C51),2))</f>
        <v/>
      </c>
      <c r="E51" s="35" t="str">
        <f aca="false">IF(B51="","",ROUND(B51/(1-IMPOSTOS-C51-TAXA_3X),2))</f>
        <v/>
      </c>
      <c r="F51" s="35" t="str">
        <f aca="false">IF(B51="","",ROUND(B51/(1-IMPOSTOS-C51-TAXA_6X),2))</f>
        <v/>
      </c>
      <c r="G51" s="35" t="str">
        <f aca="false">IF(B51="","",ROUND(B51/(1-IMPOSTOS-C51-TAXA_10X),2))</f>
        <v/>
      </c>
    </row>
    <row r="52" customFormat="false" ht="15.75" hidden="false" customHeight="true" outlineLevel="0" collapsed="false">
      <c r="A52" s="34" t="n">
        <f aca="false">PRODUTOS!A52</f>
        <v>0</v>
      </c>
      <c r="B52" s="35" t="str">
        <f aca="false">IF(PRODUTOS!E52="","",PRODUTOS!E52*(1-ICMS_CREDITO))</f>
        <v/>
      </c>
      <c r="C52" s="34" t="n">
        <f aca="false">IF(PRODUTOS!F52="",MARGEM_PADRAO,PRODUTOS!F52)</f>
        <v>0.3</v>
      </c>
      <c r="D52" s="35" t="str">
        <f aca="false">IF(B52="","",ROUND(B52/(1-IMPOSTOS-C52),2))</f>
        <v/>
      </c>
      <c r="E52" s="35" t="str">
        <f aca="false">IF(B52="","",ROUND(B52/(1-IMPOSTOS-C52-TAXA_3X),2))</f>
        <v/>
      </c>
      <c r="F52" s="35" t="str">
        <f aca="false">IF(B52="","",ROUND(B52/(1-IMPOSTOS-C52-TAXA_6X),2))</f>
        <v/>
      </c>
      <c r="G52" s="35" t="str">
        <f aca="false">IF(B52="","",ROUND(B52/(1-IMPOSTOS-C52-TAXA_10X),2))</f>
        <v/>
      </c>
    </row>
    <row r="53" customFormat="false" ht="15.75" hidden="false" customHeight="true" outlineLevel="0" collapsed="false">
      <c r="A53" s="34" t="n">
        <f aca="false">PRODUTOS!A53</f>
        <v>0</v>
      </c>
      <c r="B53" s="35" t="str">
        <f aca="false">IF(PRODUTOS!E53="","",PRODUTOS!E53*(1-ICMS_CREDITO))</f>
        <v/>
      </c>
      <c r="C53" s="34" t="n">
        <f aca="false">IF(PRODUTOS!F53="",MARGEM_PADRAO,PRODUTOS!F53)</f>
        <v>0.3</v>
      </c>
      <c r="D53" s="35" t="str">
        <f aca="false">IF(B53="","",ROUND(B53/(1-IMPOSTOS-C53),2))</f>
        <v/>
      </c>
      <c r="E53" s="35" t="str">
        <f aca="false">IF(B53="","",ROUND(B53/(1-IMPOSTOS-C53-TAXA_3X),2))</f>
        <v/>
      </c>
      <c r="F53" s="35" t="str">
        <f aca="false">IF(B53="","",ROUND(B53/(1-IMPOSTOS-C53-TAXA_6X),2))</f>
        <v/>
      </c>
      <c r="G53" s="35" t="str">
        <f aca="false">IF(B53="","",ROUND(B53/(1-IMPOSTOS-C53-TAXA_10X),2))</f>
        <v/>
      </c>
    </row>
    <row r="54" customFormat="false" ht="15.75" hidden="false" customHeight="true" outlineLevel="0" collapsed="false">
      <c r="A54" s="34" t="n">
        <f aca="false">PRODUTOS!A54</f>
        <v>0</v>
      </c>
      <c r="B54" s="35" t="str">
        <f aca="false">IF(PRODUTOS!E54="","",PRODUTOS!E54*(1-ICMS_CREDITO))</f>
        <v/>
      </c>
      <c r="C54" s="34" t="n">
        <f aca="false">IF(PRODUTOS!F54="",MARGEM_PADRAO,PRODUTOS!F54)</f>
        <v>0.3</v>
      </c>
      <c r="D54" s="35" t="str">
        <f aca="false">IF(B54="","",ROUND(B54/(1-IMPOSTOS-C54),2))</f>
        <v/>
      </c>
      <c r="E54" s="35" t="str">
        <f aca="false">IF(B54="","",ROUND(B54/(1-IMPOSTOS-C54-TAXA_3X),2))</f>
        <v/>
      </c>
      <c r="F54" s="35" t="str">
        <f aca="false">IF(B54="","",ROUND(B54/(1-IMPOSTOS-C54-TAXA_6X),2))</f>
        <v/>
      </c>
      <c r="G54" s="35" t="str">
        <f aca="false">IF(B54="","",ROUND(B54/(1-IMPOSTOS-C54-TAXA_10X),2))</f>
        <v/>
      </c>
    </row>
    <row r="55" customFormat="false" ht="15.75" hidden="false" customHeight="true" outlineLevel="0" collapsed="false">
      <c r="A55" s="34" t="n">
        <f aca="false">PRODUTOS!A55</f>
        <v>0</v>
      </c>
      <c r="B55" s="35" t="str">
        <f aca="false">IF(PRODUTOS!E55="","",PRODUTOS!E55*(1-ICMS_CREDITO))</f>
        <v/>
      </c>
      <c r="C55" s="34" t="n">
        <f aca="false">IF(PRODUTOS!F55="",MARGEM_PADRAO,PRODUTOS!F55)</f>
        <v>0.3</v>
      </c>
      <c r="D55" s="35" t="str">
        <f aca="false">IF(B55="","",ROUND(B55/(1-IMPOSTOS-C55),2))</f>
        <v/>
      </c>
      <c r="E55" s="35" t="str">
        <f aca="false">IF(B55="","",ROUND(B55/(1-IMPOSTOS-C55-TAXA_3X),2))</f>
        <v/>
      </c>
      <c r="F55" s="35" t="str">
        <f aca="false">IF(B55="","",ROUND(B55/(1-IMPOSTOS-C55-TAXA_6X),2))</f>
        <v/>
      </c>
      <c r="G55" s="35" t="str">
        <f aca="false">IF(B55="","",ROUND(B55/(1-IMPOSTOS-C55-TAXA_10X),2))</f>
        <v/>
      </c>
    </row>
    <row r="56" customFormat="false" ht="15.75" hidden="false" customHeight="true" outlineLevel="0" collapsed="false">
      <c r="A56" s="34" t="n">
        <f aca="false">PRODUTOS!A56</f>
        <v>0</v>
      </c>
      <c r="B56" s="35" t="str">
        <f aca="false">IF(PRODUTOS!E56="","",PRODUTOS!E56*(1-ICMS_CREDITO))</f>
        <v/>
      </c>
      <c r="C56" s="34" t="n">
        <f aca="false">IF(PRODUTOS!F56="",MARGEM_PADRAO,PRODUTOS!F56)</f>
        <v>0.3</v>
      </c>
      <c r="D56" s="35" t="str">
        <f aca="false">IF(B56="","",ROUND(B56/(1-IMPOSTOS-C56),2))</f>
        <v/>
      </c>
      <c r="E56" s="35" t="str">
        <f aca="false">IF(B56="","",ROUND(B56/(1-IMPOSTOS-C56-TAXA_3X),2))</f>
        <v/>
      </c>
      <c r="F56" s="35" t="str">
        <f aca="false">IF(B56="","",ROUND(B56/(1-IMPOSTOS-C56-TAXA_6X),2))</f>
        <v/>
      </c>
      <c r="G56" s="35" t="str">
        <f aca="false">IF(B56="","",ROUND(B56/(1-IMPOSTOS-C56-TAXA_10X),2))</f>
        <v/>
      </c>
    </row>
    <row r="57" customFormat="false" ht="15.75" hidden="false" customHeight="true" outlineLevel="0" collapsed="false">
      <c r="A57" s="34" t="n">
        <f aca="false">PRODUTOS!A57</f>
        <v>0</v>
      </c>
      <c r="B57" s="35" t="str">
        <f aca="false">IF(PRODUTOS!E57="","",PRODUTOS!E57*(1-ICMS_CREDITO))</f>
        <v/>
      </c>
      <c r="C57" s="34" t="n">
        <f aca="false">IF(PRODUTOS!F57="",MARGEM_PADRAO,PRODUTOS!F57)</f>
        <v>0.3</v>
      </c>
      <c r="D57" s="35" t="str">
        <f aca="false">IF(B57="","",ROUND(B57/(1-IMPOSTOS-C57),2))</f>
        <v/>
      </c>
      <c r="E57" s="35" t="str">
        <f aca="false">IF(B57="","",ROUND(B57/(1-IMPOSTOS-C57-TAXA_3X),2))</f>
        <v/>
      </c>
      <c r="F57" s="35" t="str">
        <f aca="false">IF(B57="","",ROUND(B57/(1-IMPOSTOS-C57-TAXA_6X),2))</f>
        <v/>
      </c>
      <c r="G57" s="35" t="str">
        <f aca="false">IF(B57="","",ROUND(B57/(1-IMPOSTOS-C57-TAXA_10X),2))</f>
        <v/>
      </c>
    </row>
    <row r="58" customFormat="false" ht="15.75" hidden="false" customHeight="true" outlineLevel="0" collapsed="false">
      <c r="A58" s="34" t="n">
        <f aca="false">PRODUTOS!A58</f>
        <v>0</v>
      </c>
      <c r="B58" s="35" t="str">
        <f aca="false">IF(PRODUTOS!E58="","",PRODUTOS!E58*(1-ICMS_CREDITO))</f>
        <v/>
      </c>
      <c r="C58" s="34" t="n">
        <f aca="false">IF(PRODUTOS!F58="",MARGEM_PADRAO,PRODUTOS!F58)</f>
        <v>0.3</v>
      </c>
      <c r="D58" s="35" t="str">
        <f aca="false">IF(B58="","",ROUND(B58/(1-IMPOSTOS-C58),2))</f>
        <v/>
      </c>
      <c r="E58" s="35" t="str">
        <f aca="false">IF(B58="","",ROUND(B58/(1-IMPOSTOS-C58-TAXA_3X),2))</f>
        <v/>
      </c>
      <c r="F58" s="35" t="str">
        <f aca="false">IF(B58="","",ROUND(B58/(1-IMPOSTOS-C58-TAXA_6X),2))</f>
        <v/>
      </c>
      <c r="G58" s="35" t="str">
        <f aca="false">IF(B58="","",ROUND(B58/(1-IMPOSTOS-C58-TAXA_10X),2))</f>
        <v/>
      </c>
    </row>
    <row r="59" customFormat="false" ht="15.75" hidden="false" customHeight="true" outlineLevel="0" collapsed="false">
      <c r="A59" s="34" t="n">
        <f aca="false">PRODUTOS!A59</f>
        <v>0</v>
      </c>
      <c r="B59" s="35" t="str">
        <f aca="false">IF(PRODUTOS!E59="","",PRODUTOS!E59*(1-ICMS_CREDITO))</f>
        <v/>
      </c>
      <c r="C59" s="34" t="n">
        <f aca="false">IF(PRODUTOS!F59="",MARGEM_PADRAO,PRODUTOS!F59)</f>
        <v>0.3</v>
      </c>
      <c r="D59" s="35" t="str">
        <f aca="false">IF(B59="","",ROUND(B59/(1-IMPOSTOS-C59),2))</f>
        <v/>
      </c>
      <c r="E59" s="35" t="str">
        <f aca="false">IF(B59="","",ROUND(B59/(1-IMPOSTOS-C59-TAXA_3X),2))</f>
        <v/>
      </c>
      <c r="F59" s="35" t="str">
        <f aca="false">IF(B59="","",ROUND(B59/(1-IMPOSTOS-C59-TAXA_6X),2))</f>
        <v/>
      </c>
      <c r="G59" s="35" t="str">
        <f aca="false">IF(B59="","",ROUND(B59/(1-IMPOSTOS-C59-TAXA_10X),2))</f>
        <v/>
      </c>
    </row>
    <row r="60" customFormat="false" ht="15.75" hidden="false" customHeight="true" outlineLevel="0" collapsed="false">
      <c r="A60" s="34" t="n">
        <f aca="false">PRODUTOS!A60</f>
        <v>0</v>
      </c>
      <c r="B60" s="35" t="str">
        <f aca="false">IF(PRODUTOS!E60="","",PRODUTOS!E60*(1-ICMS_CREDITO))</f>
        <v/>
      </c>
      <c r="C60" s="34" t="n">
        <f aca="false">IF(PRODUTOS!F60="",MARGEM_PADRAO,PRODUTOS!F60)</f>
        <v>0.3</v>
      </c>
      <c r="D60" s="35" t="str">
        <f aca="false">IF(B60="","",ROUND(B60/(1-IMPOSTOS-C60),2))</f>
        <v/>
      </c>
      <c r="E60" s="35" t="str">
        <f aca="false">IF(B60="","",ROUND(B60/(1-IMPOSTOS-C60-TAXA_3X),2))</f>
        <v/>
      </c>
      <c r="F60" s="35" t="str">
        <f aca="false">IF(B60="","",ROUND(B60/(1-IMPOSTOS-C60-TAXA_6X),2))</f>
        <v/>
      </c>
      <c r="G60" s="35" t="str">
        <f aca="false">IF(B60="","",ROUND(B60/(1-IMPOSTOS-C60-TAXA_10X),2))</f>
        <v/>
      </c>
    </row>
    <row r="61" customFormat="false" ht="15.75" hidden="false" customHeight="true" outlineLevel="0" collapsed="false">
      <c r="A61" s="34" t="n">
        <f aca="false">PRODUTOS!A61</f>
        <v>0</v>
      </c>
      <c r="B61" s="35" t="str">
        <f aca="false">IF(PRODUTOS!E61="","",PRODUTOS!E61*(1-ICMS_CREDITO))</f>
        <v/>
      </c>
      <c r="C61" s="34" t="n">
        <f aca="false">IF(PRODUTOS!F61="",MARGEM_PADRAO,PRODUTOS!F61)</f>
        <v>0.3</v>
      </c>
      <c r="D61" s="35" t="str">
        <f aca="false">IF(B61="","",ROUND(B61/(1-IMPOSTOS-C61),2))</f>
        <v/>
      </c>
      <c r="E61" s="35" t="str">
        <f aca="false">IF(B61="","",ROUND(B61/(1-IMPOSTOS-C61-TAXA_3X),2))</f>
        <v/>
      </c>
      <c r="F61" s="35" t="str">
        <f aca="false">IF(B61="","",ROUND(B61/(1-IMPOSTOS-C61-TAXA_6X),2))</f>
        <v/>
      </c>
      <c r="G61" s="35" t="str">
        <f aca="false">IF(B61="","",ROUND(B61/(1-IMPOSTOS-C61-TAXA_10X),2))</f>
        <v/>
      </c>
    </row>
    <row r="62" customFormat="false" ht="15.75" hidden="false" customHeight="true" outlineLevel="0" collapsed="false">
      <c r="A62" s="34" t="n">
        <f aca="false">PRODUTOS!A62</f>
        <v>0</v>
      </c>
      <c r="B62" s="35" t="str">
        <f aca="false">IF(PRODUTOS!E62="","",PRODUTOS!E62*(1-ICMS_CREDITO))</f>
        <v/>
      </c>
      <c r="C62" s="34" t="n">
        <f aca="false">IF(PRODUTOS!F62="",MARGEM_PADRAO,PRODUTOS!F62)</f>
        <v>0.3</v>
      </c>
      <c r="D62" s="35" t="str">
        <f aca="false">IF(B62="","",ROUND(B62/(1-IMPOSTOS-C62),2))</f>
        <v/>
      </c>
      <c r="E62" s="35" t="str">
        <f aca="false">IF(B62="","",ROUND(B62/(1-IMPOSTOS-C62-TAXA_3X),2))</f>
        <v/>
      </c>
      <c r="F62" s="35" t="str">
        <f aca="false">IF(B62="","",ROUND(B62/(1-IMPOSTOS-C62-TAXA_6X),2))</f>
        <v/>
      </c>
      <c r="G62" s="35" t="str">
        <f aca="false">IF(B62="","",ROUND(B62/(1-IMPOSTOS-C62-TAXA_10X),2))</f>
        <v/>
      </c>
    </row>
    <row r="63" customFormat="false" ht="15.75" hidden="false" customHeight="true" outlineLevel="0" collapsed="false">
      <c r="A63" s="34" t="n">
        <f aca="false">PRODUTOS!A63</f>
        <v>0</v>
      </c>
      <c r="B63" s="35" t="str">
        <f aca="false">IF(PRODUTOS!E63="","",PRODUTOS!E63*(1-ICMS_CREDITO))</f>
        <v/>
      </c>
      <c r="C63" s="34" t="n">
        <f aca="false">IF(PRODUTOS!F63="",MARGEM_PADRAO,PRODUTOS!F63)</f>
        <v>0.3</v>
      </c>
      <c r="D63" s="35" t="str">
        <f aca="false">IF(B63="","",ROUND(B63/(1-IMPOSTOS-C63),2))</f>
        <v/>
      </c>
      <c r="E63" s="35" t="str">
        <f aca="false">IF(B63="","",ROUND(B63/(1-IMPOSTOS-C63-TAXA_3X),2))</f>
        <v/>
      </c>
      <c r="F63" s="35" t="str">
        <f aca="false">IF(B63="","",ROUND(B63/(1-IMPOSTOS-C63-TAXA_6X),2))</f>
        <v/>
      </c>
      <c r="G63" s="35" t="str">
        <f aca="false">IF(B63="","",ROUND(B63/(1-IMPOSTOS-C63-TAXA_10X),2))</f>
        <v/>
      </c>
    </row>
    <row r="64" customFormat="false" ht="15.75" hidden="false" customHeight="true" outlineLevel="0" collapsed="false">
      <c r="A64" s="34" t="n">
        <f aca="false">PRODUTOS!A64</f>
        <v>0</v>
      </c>
      <c r="B64" s="35" t="str">
        <f aca="false">IF(PRODUTOS!E64="","",PRODUTOS!E64*(1-ICMS_CREDITO))</f>
        <v/>
      </c>
      <c r="C64" s="34" t="n">
        <f aca="false">IF(PRODUTOS!F64="",MARGEM_PADRAO,PRODUTOS!F64)</f>
        <v>0.3</v>
      </c>
      <c r="D64" s="35" t="str">
        <f aca="false">IF(B64="","",ROUND(B64/(1-IMPOSTOS-C64),2))</f>
        <v/>
      </c>
      <c r="E64" s="35" t="str">
        <f aca="false">IF(B64="","",ROUND(B64/(1-IMPOSTOS-C64-TAXA_3X),2))</f>
        <v/>
      </c>
      <c r="F64" s="35" t="str">
        <f aca="false">IF(B64="","",ROUND(B64/(1-IMPOSTOS-C64-TAXA_6X),2))</f>
        <v/>
      </c>
      <c r="G64" s="35" t="str">
        <f aca="false">IF(B64="","",ROUND(B64/(1-IMPOSTOS-C64-TAXA_10X),2))</f>
        <v/>
      </c>
    </row>
    <row r="65" customFormat="false" ht="15.75" hidden="false" customHeight="true" outlineLevel="0" collapsed="false">
      <c r="A65" s="34" t="n">
        <f aca="false">PRODUTOS!A65</f>
        <v>0</v>
      </c>
      <c r="B65" s="35" t="str">
        <f aca="false">IF(PRODUTOS!E65="","",PRODUTOS!E65*(1-ICMS_CREDITO))</f>
        <v/>
      </c>
      <c r="C65" s="34" t="n">
        <f aca="false">IF(PRODUTOS!F65="",MARGEM_PADRAO,PRODUTOS!F65)</f>
        <v>0.3</v>
      </c>
      <c r="D65" s="35" t="str">
        <f aca="false">IF(B65="","",ROUND(B65/(1-IMPOSTOS-C65),2))</f>
        <v/>
      </c>
      <c r="E65" s="35" t="str">
        <f aca="false">IF(B65="","",ROUND(B65/(1-IMPOSTOS-C65-TAXA_3X),2))</f>
        <v/>
      </c>
      <c r="F65" s="35" t="str">
        <f aca="false">IF(B65="","",ROUND(B65/(1-IMPOSTOS-C65-TAXA_6X),2))</f>
        <v/>
      </c>
      <c r="G65" s="35" t="str">
        <f aca="false">IF(B65="","",ROUND(B65/(1-IMPOSTOS-C65-TAXA_10X),2))</f>
        <v/>
      </c>
    </row>
    <row r="66" customFormat="false" ht="15.75" hidden="false" customHeight="true" outlineLevel="0" collapsed="false">
      <c r="A66" s="34" t="n">
        <f aca="false">PRODUTOS!A66</f>
        <v>0</v>
      </c>
      <c r="B66" s="35" t="str">
        <f aca="false">IF(PRODUTOS!E66="","",PRODUTOS!E66*(1-ICMS_CREDITO))</f>
        <v/>
      </c>
      <c r="C66" s="34" t="n">
        <f aca="false">IF(PRODUTOS!F66="",MARGEM_PADRAO,PRODUTOS!F66)</f>
        <v>0.3</v>
      </c>
      <c r="D66" s="35" t="str">
        <f aca="false">IF(B66="","",ROUND(B66/(1-IMPOSTOS-C66),2))</f>
        <v/>
      </c>
      <c r="E66" s="35" t="str">
        <f aca="false">IF(B66="","",ROUND(B66/(1-IMPOSTOS-C66-TAXA_3X),2))</f>
        <v/>
      </c>
      <c r="F66" s="35" t="str">
        <f aca="false">IF(B66="","",ROUND(B66/(1-IMPOSTOS-C66-TAXA_6X),2))</f>
        <v/>
      </c>
      <c r="G66" s="35" t="str">
        <f aca="false">IF(B66="","",ROUND(B66/(1-IMPOSTOS-C66-TAXA_10X),2))</f>
        <v/>
      </c>
    </row>
    <row r="67" customFormat="false" ht="15.75" hidden="false" customHeight="true" outlineLevel="0" collapsed="false">
      <c r="A67" s="34" t="n">
        <f aca="false">PRODUTOS!A67</f>
        <v>0</v>
      </c>
      <c r="B67" s="35" t="str">
        <f aca="false">IF(PRODUTOS!E67="","",PRODUTOS!E67*(1-ICMS_CREDITO))</f>
        <v/>
      </c>
      <c r="C67" s="34" t="n">
        <f aca="false">IF(PRODUTOS!F67="",MARGEM_PADRAO,PRODUTOS!F67)</f>
        <v>0.3</v>
      </c>
      <c r="D67" s="35" t="str">
        <f aca="false">IF(B67="","",ROUND(B67/(1-IMPOSTOS-C67),2))</f>
        <v/>
      </c>
      <c r="E67" s="35" t="str">
        <f aca="false">IF(B67="","",ROUND(B67/(1-IMPOSTOS-C67-TAXA_3X),2))</f>
        <v/>
      </c>
      <c r="F67" s="35" t="str">
        <f aca="false">IF(B67="","",ROUND(B67/(1-IMPOSTOS-C67-TAXA_6X),2))</f>
        <v/>
      </c>
      <c r="G67" s="35" t="str">
        <f aca="false">IF(B67="","",ROUND(B67/(1-IMPOSTOS-C67-TAXA_10X),2))</f>
        <v/>
      </c>
    </row>
    <row r="68" customFormat="false" ht="15.75" hidden="false" customHeight="true" outlineLevel="0" collapsed="false">
      <c r="A68" s="34" t="n">
        <f aca="false">PRODUTOS!A68</f>
        <v>0</v>
      </c>
      <c r="B68" s="35" t="str">
        <f aca="false">IF(PRODUTOS!E68="","",PRODUTOS!E68*(1-ICMS_CREDITO))</f>
        <v/>
      </c>
      <c r="C68" s="34" t="n">
        <f aca="false">IF(PRODUTOS!F68="",MARGEM_PADRAO,PRODUTOS!F68)</f>
        <v>0.3</v>
      </c>
      <c r="D68" s="35" t="str">
        <f aca="false">IF(B68="","",ROUND(B68/(1-IMPOSTOS-C68),2))</f>
        <v/>
      </c>
      <c r="E68" s="35" t="str">
        <f aca="false">IF(B68="","",ROUND(B68/(1-IMPOSTOS-C68-TAXA_3X),2))</f>
        <v/>
      </c>
      <c r="F68" s="35" t="str">
        <f aca="false">IF(B68="","",ROUND(B68/(1-IMPOSTOS-C68-TAXA_6X),2))</f>
        <v/>
      </c>
      <c r="G68" s="35" t="str">
        <f aca="false">IF(B68="","",ROUND(B68/(1-IMPOSTOS-C68-TAXA_10X),2))</f>
        <v/>
      </c>
    </row>
    <row r="69" customFormat="false" ht="15.75" hidden="false" customHeight="true" outlineLevel="0" collapsed="false">
      <c r="A69" s="34" t="n">
        <f aca="false">PRODUTOS!A69</f>
        <v>0</v>
      </c>
      <c r="B69" s="35" t="str">
        <f aca="false">IF(PRODUTOS!E69="","",PRODUTOS!E69*(1-ICMS_CREDITO))</f>
        <v/>
      </c>
      <c r="C69" s="34" t="n">
        <f aca="false">IF(PRODUTOS!F69="",MARGEM_PADRAO,PRODUTOS!F69)</f>
        <v>0.3</v>
      </c>
      <c r="D69" s="35" t="str">
        <f aca="false">IF(B69="","",ROUND(B69/(1-IMPOSTOS-C69),2))</f>
        <v/>
      </c>
      <c r="E69" s="35" t="str">
        <f aca="false">IF(B69="","",ROUND(B69/(1-IMPOSTOS-C69-TAXA_3X),2))</f>
        <v/>
      </c>
      <c r="F69" s="35" t="str">
        <f aca="false">IF(B69="","",ROUND(B69/(1-IMPOSTOS-C69-TAXA_6X),2))</f>
        <v/>
      </c>
      <c r="G69" s="35" t="str">
        <f aca="false">IF(B69="","",ROUND(B69/(1-IMPOSTOS-C69-TAXA_10X),2))</f>
        <v/>
      </c>
    </row>
    <row r="70" customFormat="false" ht="15.75" hidden="false" customHeight="true" outlineLevel="0" collapsed="false">
      <c r="A70" s="34" t="n">
        <f aca="false">PRODUTOS!A70</f>
        <v>0</v>
      </c>
      <c r="B70" s="35" t="str">
        <f aca="false">IF(PRODUTOS!E70="","",PRODUTOS!E70*(1-ICMS_CREDITO))</f>
        <v/>
      </c>
      <c r="C70" s="34" t="n">
        <f aca="false">IF(PRODUTOS!F70="",MARGEM_PADRAO,PRODUTOS!F70)</f>
        <v>0.3</v>
      </c>
      <c r="D70" s="35" t="str">
        <f aca="false">IF(B70="","",ROUND(B70/(1-IMPOSTOS-C70),2))</f>
        <v/>
      </c>
      <c r="E70" s="35" t="str">
        <f aca="false">IF(B70="","",ROUND(B70/(1-IMPOSTOS-C70-TAXA_3X),2))</f>
        <v/>
      </c>
      <c r="F70" s="35" t="str">
        <f aca="false">IF(B70="","",ROUND(B70/(1-IMPOSTOS-C70-TAXA_6X),2))</f>
        <v/>
      </c>
      <c r="G70" s="35" t="str">
        <f aca="false">IF(B70="","",ROUND(B70/(1-IMPOSTOS-C70-TAXA_10X),2))</f>
        <v/>
      </c>
    </row>
    <row r="71" customFormat="false" ht="15.75" hidden="false" customHeight="true" outlineLevel="0" collapsed="false">
      <c r="A71" s="34" t="n">
        <f aca="false">PRODUTOS!A71</f>
        <v>0</v>
      </c>
      <c r="B71" s="35" t="str">
        <f aca="false">IF(PRODUTOS!E71="","",PRODUTOS!E71*(1-ICMS_CREDITO))</f>
        <v/>
      </c>
      <c r="C71" s="34" t="n">
        <f aca="false">IF(PRODUTOS!F71="",MARGEM_PADRAO,PRODUTOS!F71)</f>
        <v>0.3</v>
      </c>
      <c r="D71" s="35" t="str">
        <f aca="false">IF(B71="","",ROUND(B71/(1-IMPOSTOS-C71),2))</f>
        <v/>
      </c>
      <c r="E71" s="35" t="str">
        <f aca="false">IF(B71="","",ROUND(B71/(1-IMPOSTOS-C71-TAXA_3X),2))</f>
        <v/>
      </c>
      <c r="F71" s="35" t="str">
        <f aca="false">IF(B71="","",ROUND(B71/(1-IMPOSTOS-C71-TAXA_6X),2))</f>
        <v/>
      </c>
      <c r="G71" s="35" t="str">
        <f aca="false">IF(B71="","",ROUND(B71/(1-IMPOSTOS-C71-TAXA_10X),2))</f>
        <v/>
      </c>
    </row>
    <row r="72" customFormat="false" ht="15.75" hidden="false" customHeight="true" outlineLevel="0" collapsed="false">
      <c r="A72" s="34" t="n">
        <f aca="false">PRODUTOS!A72</f>
        <v>0</v>
      </c>
      <c r="B72" s="35" t="str">
        <f aca="false">IF(PRODUTOS!E72="","",PRODUTOS!E72*(1-ICMS_CREDITO))</f>
        <v/>
      </c>
      <c r="C72" s="34" t="n">
        <f aca="false">IF(PRODUTOS!F72="",MARGEM_PADRAO,PRODUTOS!F72)</f>
        <v>0.3</v>
      </c>
      <c r="D72" s="35" t="str">
        <f aca="false">IF(B72="","",ROUND(B72/(1-IMPOSTOS-C72),2))</f>
        <v/>
      </c>
      <c r="E72" s="35" t="str">
        <f aca="false">IF(B72="","",ROUND(B72/(1-IMPOSTOS-C72-TAXA_3X),2))</f>
        <v/>
      </c>
      <c r="F72" s="35" t="str">
        <f aca="false">IF(B72="","",ROUND(B72/(1-IMPOSTOS-C72-TAXA_6X),2))</f>
        <v/>
      </c>
      <c r="G72" s="35" t="str">
        <f aca="false">IF(B72="","",ROUND(B72/(1-IMPOSTOS-C72-TAXA_10X),2))</f>
        <v/>
      </c>
    </row>
    <row r="73" customFormat="false" ht="15.75" hidden="false" customHeight="true" outlineLevel="0" collapsed="false">
      <c r="A73" s="34" t="n">
        <f aca="false">PRODUTOS!A73</f>
        <v>0</v>
      </c>
      <c r="B73" s="35" t="str">
        <f aca="false">IF(PRODUTOS!E73="","",PRODUTOS!E73*(1-ICMS_CREDITO))</f>
        <v/>
      </c>
      <c r="C73" s="34" t="n">
        <f aca="false">IF(PRODUTOS!F73="",MARGEM_PADRAO,PRODUTOS!F73)</f>
        <v>0.3</v>
      </c>
      <c r="D73" s="35" t="str">
        <f aca="false">IF(B73="","",ROUND(B73/(1-IMPOSTOS-C73),2))</f>
        <v/>
      </c>
      <c r="E73" s="35" t="str">
        <f aca="false">IF(B73="","",ROUND(B73/(1-IMPOSTOS-C73-TAXA_3X),2))</f>
        <v/>
      </c>
      <c r="F73" s="35" t="str">
        <f aca="false">IF(B73="","",ROUND(B73/(1-IMPOSTOS-C73-TAXA_6X),2))</f>
        <v/>
      </c>
      <c r="G73" s="35" t="str">
        <f aca="false">IF(B73="","",ROUND(B73/(1-IMPOSTOS-C73-TAXA_10X),2))</f>
        <v/>
      </c>
    </row>
    <row r="74" customFormat="false" ht="15.75" hidden="false" customHeight="true" outlineLevel="0" collapsed="false">
      <c r="A74" s="34" t="n">
        <f aca="false">PRODUTOS!A74</f>
        <v>0</v>
      </c>
      <c r="B74" s="35" t="str">
        <f aca="false">IF(PRODUTOS!E74="","",PRODUTOS!E74*(1-ICMS_CREDITO))</f>
        <v/>
      </c>
      <c r="C74" s="34" t="n">
        <f aca="false">IF(PRODUTOS!F74="",MARGEM_PADRAO,PRODUTOS!F74)</f>
        <v>0.3</v>
      </c>
      <c r="D74" s="35" t="str">
        <f aca="false">IF(B74="","",ROUND(B74/(1-IMPOSTOS-C74),2))</f>
        <v/>
      </c>
      <c r="E74" s="35" t="str">
        <f aca="false">IF(B74="","",ROUND(B74/(1-IMPOSTOS-C74-TAXA_3X),2))</f>
        <v/>
      </c>
      <c r="F74" s="35" t="str">
        <f aca="false">IF(B74="","",ROUND(B74/(1-IMPOSTOS-C74-TAXA_6X),2))</f>
        <v/>
      </c>
      <c r="G74" s="35" t="str">
        <f aca="false">IF(B74="","",ROUND(B74/(1-IMPOSTOS-C74-TAXA_10X),2))</f>
        <v/>
      </c>
    </row>
    <row r="75" customFormat="false" ht="15.75" hidden="false" customHeight="true" outlineLevel="0" collapsed="false">
      <c r="A75" s="34" t="n">
        <f aca="false">PRODUTOS!A75</f>
        <v>0</v>
      </c>
      <c r="B75" s="35" t="str">
        <f aca="false">IF(PRODUTOS!E75="","",PRODUTOS!E75*(1-ICMS_CREDITO))</f>
        <v/>
      </c>
      <c r="C75" s="34" t="n">
        <f aca="false">IF(PRODUTOS!F75="",MARGEM_PADRAO,PRODUTOS!F75)</f>
        <v>0.3</v>
      </c>
      <c r="D75" s="35" t="str">
        <f aca="false">IF(B75="","",ROUND(B75/(1-IMPOSTOS-C75),2))</f>
        <v/>
      </c>
      <c r="E75" s="35" t="str">
        <f aca="false">IF(B75="","",ROUND(B75/(1-IMPOSTOS-C75-TAXA_3X),2))</f>
        <v/>
      </c>
      <c r="F75" s="35" t="str">
        <f aca="false">IF(B75="","",ROUND(B75/(1-IMPOSTOS-C75-TAXA_6X),2))</f>
        <v/>
      </c>
      <c r="G75" s="35" t="str">
        <f aca="false">IF(B75="","",ROUND(B75/(1-IMPOSTOS-C75-TAXA_10X),2))</f>
        <v/>
      </c>
    </row>
    <row r="76" customFormat="false" ht="15.75" hidden="false" customHeight="true" outlineLevel="0" collapsed="false">
      <c r="A76" s="34" t="n">
        <f aca="false">PRODUTOS!A76</f>
        <v>0</v>
      </c>
      <c r="B76" s="35" t="str">
        <f aca="false">IF(PRODUTOS!E76="","",PRODUTOS!E76*(1-ICMS_CREDITO))</f>
        <v/>
      </c>
      <c r="C76" s="34" t="n">
        <f aca="false">IF(PRODUTOS!F76="",MARGEM_PADRAO,PRODUTOS!F76)</f>
        <v>0.3</v>
      </c>
      <c r="D76" s="35" t="str">
        <f aca="false">IF(B76="","",ROUND(B76/(1-IMPOSTOS-C76),2))</f>
        <v/>
      </c>
      <c r="E76" s="35" t="str">
        <f aca="false">IF(B76="","",ROUND(B76/(1-IMPOSTOS-C76-TAXA_3X),2))</f>
        <v/>
      </c>
      <c r="F76" s="35" t="str">
        <f aca="false">IF(B76="","",ROUND(B76/(1-IMPOSTOS-C76-TAXA_6X),2))</f>
        <v/>
      </c>
      <c r="G76" s="35" t="str">
        <f aca="false">IF(B76="","",ROUND(B76/(1-IMPOSTOS-C76-TAXA_10X),2))</f>
        <v/>
      </c>
    </row>
    <row r="77" customFormat="false" ht="15.75" hidden="false" customHeight="true" outlineLevel="0" collapsed="false">
      <c r="A77" s="34" t="n">
        <f aca="false">PRODUTOS!A77</f>
        <v>0</v>
      </c>
      <c r="B77" s="35" t="str">
        <f aca="false">IF(PRODUTOS!E77="","",PRODUTOS!E77*(1-ICMS_CREDITO))</f>
        <v/>
      </c>
      <c r="C77" s="34" t="n">
        <f aca="false">IF(PRODUTOS!F77="",MARGEM_PADRAO,PRODUTOS!F77)</f>
        <v>0.3</v>
      </c>
      <c r="D77" s="35" t="str">
        <f aca="false">IF(B77="","",ROUND(B77/(1-IMPOSTOS-C77),2))</f>
        <v/>
      </c>
      <c r="E77" s="35" t="str">
        <f aca="false">IF(B77="","",ROUND(B77/(1-IMPOSTOS-C77-TAXA_3X),2))</f>
        <v/>
      </c>
      <c r="F77" s="35" t="str">
        <f aca="false">IF(B77="","",ROUND(B77/(1-IMPOSTOS-C77-TAXA_6X),2))</f>
        <v/>
      </c>
      <c r="G77" s="35" t="str">
        <f aca="false">IF(B77="","",ROUND(B77/(1-IMPOSTOS-C77-TAXA_10X),2))</f>
        <v/>
      </c>
    </row>
    <row r="78" customFormat="false" ht="15.75" hidden="false" customHeight="true" outlineLevel="0" collapsed="false">
      <c r="A78" s="34" t="n">
        <f aca="false">PRODUTOS!A78</f>
        <v>0</v>
      </c>
      <c r="B78" s="35" t="str">
        <f aca="false">IF(PRODUTOS!E78="","",PRODUTOS!E78*(1-ICMS_CREDITO))</f>
        <v/>
      </c>
      <c r="C78" s="34" t="n">
        <f aca="false">IF(PRODUTOS!F78="",MARGEM_PADRAO,PRODUTOS!F78)</f>
        <v>0.3</v>
      </c>
      <c r="D78" s="35" t="str">
        <f aca="false">IF(B78="","",ROUND(B78/(1-IMPOSTOS-C78),2))</f>
        <v/>
      </c>
      <c r="E78" s="35" t="str">
        <f aca="false">IF(B78="","",ROUND(B78/(1-IMPOSTOS-C78-TAXA_3X),2))</f>
        <v/>
      </c>
      <c r="F78" s="35" t="str">
        <f aca="false">IF(B78="","",ROUND(B78/(1-IMPOSTOS-C78-TAXA_6X),2))</f>
        <v/>
      </c>
      <c r="G78" s="35" t="str">
        <f aca="false">IF(B78="","",ROUND(B78/(1-IMPOSTOS-C78-TAXA_10X),2))</f>
        <v/>
      </c>
    </row>
    <row r="79" customFormat="false" ht="15.75" hidden="false" customHeight="true" outlineLevel="0" collapsed="false">
      <c r="A79" s="34" t="n">
        <f aca="false">PRODUTOS!A79</f>
        <v>0</v>
      </c>
      <c r="B79" s="35" t="str">
        <f aca="false">IF(PRODUTOS!E79="","",PRODUTOS!E79*(1-ICMS_CREDITO))</f>
        <v/>
      </c>
      <c r="C79" s="34" t="n">
        <f aca="false">IF(PRODUTOS!F79="",MARGEM_PADRAO,PRODUTOS!F79)</f>
        <v>0.3</v>
      </c>
      <c r="D79" s="35" t="str">
        <f aca="false">IF(B79="","",ROUND(B79/(1-IMPOSTOS-C79),2))</f>
        <v/>
      </c>
      <c r="E79" s="35" t="str">
        <f aca="false">IF(B79="","",ROUND(B79/(1-IMPOSTOS-C79-TAXA_3X),2))</f>
        <v/>
      </c>
      <c r="F79" s="35" t="str">
        <f aca="false">IF(B79="","",ROUND(B79/(1-IMPOSTOS-C79-TAXA_6X),2))</f>
        <v/>
      </c>
      <c r="G79" s="35" t="str">
        <f aca="false">IF(B79="","",ROUND(B79/(1-IMPOSTOS-C79-TAXA_10X),2))</f>
        <v/>
      </c>
    </row>
    <row r="80" customFormat="false" ht="15.75" hidden="false" customHeight="true" outlineLevel="0" collapsed="false">
      <c r="A80" s="34" t="n">
        <f aca="false">PRODUTOS!A80</f>
        <v>0</v>
      </c>
      <c r="B80" s="35" t="str">
        <f aca="false">IF(PRODUTOS!E80="","",PRODUTOS!E80*(1-ICMS_CREDITO))</f>
        <v/>
      </c>
      <c r="C80" s="34" t="n">
        <f aca="false">IF(PRODUTOS!F80="",MARGEM_PADRAO,PRODUTOS!F80)</f>
        <v>0.3</v>
      </c>
      <c r="D80" s="35" t="str">
        <f aca="false">IF(B80="","",ROUND(B80/(1-IMPOSTOS-C80),2))</f>
        <v/>
      </c>
      <c r="E80" s="35" t="str">
        <f aca="false">IF(B80="","",ROUND(B80/(1-IMPOSTOS-C80-TAXA_3X),2))</f>
        <v/>
      </c>
      <c r="F80" s="35" t="str">
        <f aca="false">IF(B80="","",ROUND(B80/(1-IMPOSTOS-C80-TAXA_6X),2))</f>
        <v/>
      </c>
      <c r="G80" s="35" t="str">
        <f aca="false">IF(B80="","",ROUND(B80/(1-IMPOSTOS-C80-TAXA_10X),2))</f>
        <v/>
      </c>
    </row>
    <row r="81" customFormat="false" ht="15.75" hidden="false" customHeight="true" outlineLevel="0" collapsed="false">
      <c r="A81" s="34" t="n">
        <f aca="false">PRODUTOS!A81</f>
        <v>0</v>
      </c>
      <c r="B81" s="35" t="str">
        <f aca="false">IF(PRODUTOS!E81="","",PRODUTOS!E81*(1-ICMS_CREDITO))</f>
        <v/>
      </c>
      <c r="C81" s="34" t="n">
        <f aca="false">IF(PRODUTOS!F81="",MARGEM_PADRAO,PRODUTOS!F81)</f>
        <v>0.3</v>
      </c>
      <c r="D81" s="35" t="str">
        <f aca="false">IF(B81="","",ROUND(B81/(1-IMPOSTOS-C81),2))</f>
        <v/>
      </c>
      <c r="E81" s="35" t="str">
        <f aca="false">IF(B81="","",ROUND(B81/(1-IMPOSTOS-C81-TAXA_3X),2))</f>
        <v/>
      </c>
      <c r="F81" s="35" t="str">
        <f aca="false">IF(B81="","",ROUND(B81/(1-IMPOSTOS-C81-TAXA_6X),2))</f>
        <v/>
      </c>
      <c r="G81" s="35" t="str">
        <f aca="false">IF(B81="","",ROUND(B81/(1-IMPOSTOS-C81-TAXA_10X),2))</f>
        <v/>
      </c>
    </row>
    <row r="82" customFormat="false" ht="15.75" hidden="false" customHeight="true" outlineLevel="0" collapsed="false">
      <c r="A82" s="34" t="n">
        <f aca="false">PRODUTOS!A82</f>
        <v>0</v>
      </c>
      <c r="B82" s="35" t="str">
        <f aca="false">IF(PRODUTOS!E82="","",PRODUTOS!E82*(1-ICMS_CREDITO))</f>
        <v/>
      </c>
      <c r="C82" s="34" t="n">
        <f aca="false">IF(PRODUTOS!F82="",MARGEM_PADRAO,PRODUTOS!F82)</f>
        <v>0.3</v>
      </c>
      <c r="D82" s="35" t="str">
        <f aca="false">IF(B82="","",ROUND(B82/(1-IMPOSTOS-C82),2))</f>
        <v/>
      </c>
      <c r="E82" s="35" t="str">
        <f aca="false">IF(B82="","",ROUND(B82/(1-IMPOSTOS-C82-TAXA_3X),2))</f>
        <v/>
      </c>
      <c r="F82" s="35" t="str">
        <f aca="false">IF(B82="","",ROUND(B82/(1-IMPOSTOS-C82-TAXA_6X),2))</f>
        <v/>
      </c>
      <c r="G82" s="35" t="str">
        <f aca="false">IF(B82="","",ROUND(B82/(1-IMPOSTOS-C82-TAXA_10X),2))</f>
        <v/>
      </c>
    </row>
    <row r="83" customFormat="false" ht="15.75" hidden="false" customHeight="true" outlineLevel="0" collapsed="false">
      <c r="A83" s="34" t="n">
        <f aca="false">PRODUTOS!A83</f>
        <v>0</v>
      </c>
      <c r="B83" s="35" t="str">
        <f aca="false">IF(PRODUTOS!E83="","",PRODUTOS!E83*(1-ICMS_CREDITO))</f>
        <v/>
      </c>
      <c r="C83" s="34" t="n">
        <f aca="false">IF(PRODUTOS!F83="",MARGEM_PADRAO,PRODUTOS!F83)</f>
        <v>0.3</v>
      </c>
      <c r="D83" s="35" t="str">
        <f aca="false">IF(B83="","",ROUND(B83/(1-IMPOSTOS-C83),2))</f>
        <v/>
      </c>
      <c r="E83" s="35" t="str">
        <f aca="false">IF(B83="","",ROUND(B83/(1-IMPOSTOS-C83-TAXA_3X),2))</f>
        <v/>
      </c>
      <c r="F83" s="35" t="str">
        <f aca="false">IF(B83="","",ROUND(B83/(1-IMPOSTOS-C83-TAXA_6X),2))</f>
        <v/>
      </c>
      <c r="G83" s="35" t="str">
        <f aca="false">IF(B83="","",ROUND(B83/(1-IMPOSTOS-C83-TAXA_10X),2))</f>
        <v/>
      </c>
    </row>
    <row r="84" customFormat="false" ht="15.75" hidden="false" customHeight="true" outlineLevel="0" collapsed="false">
      <c r="A84" s="34" t="n">
        <f aca="false">PRODUTOS!A84</f>
        <v>0</v>
      </c>
      <c r="B84" s="35" t="str">
        <f aca="false">IF(PRODUTOS!E84="","",PRODUTOS!E84*(1-ICMS_CREDITO))</f>
        <v/>
      </c>
      <c r="C84" s="34" t="n">
        <f aca="false">IF(PRODUTOS!F84="",MARGEM_PADRAO,PRODUTOS!F84)</f>
        <v>0.3</v>
      </c>
      <c r="D84" s="35" t="str">
        <f aca="false">IF(B84="","",ROUND(B84/(1-IMPOSTOS-C84),2))</f>
        <v/>
      </c>
      <c r="E84" s="35" t="str">
        <f aca="false">IF(B84="","",ROUND(B84/(1-IMPOSTOS-C84-TAXA_3X),2))</f>
        <v/>
      </c>
      <c r="F84" s="35" t="str">
        <f aca="false">IF(B84="","",ROUND(B84/(1-IMPOSTOS-C84-TAXA_6X),2))</f>
        <v/>
      </c>
      <c r="G84" s="35" t="str">
        <f aca="false">IF(B84="","",ROUND(B84/(1-IMPOSTOS-C84-TAXA_10X),2))</f>
        <v/>
      </c>
    </row>
    <row r="85" customFormat="false" ht="15.75" hidden="false" customHeight="true" outlineLevel="0" collapsed="false">
      <c r="A85" s="34" t="n">
        <f aca="false">PRODUTOS!A85</f>
        <v>0</v>
      </c>
      <c r="B85" s="35" t="str">
        <f aca="false">IF(PRODUTOS!E85="","",PRODUTOS!E85*(1-ICMS_CREDITO))</f>
        <v/>
      </c>
      <c r="C85" s="34" t="n">
        <f aca="false">IF(PRODUTOS!F85="",MARGEM_PADRAO,PRODUTOS!F85)</f>
        <v>0.3</v>
      </c>
      <c r="D85" s="35" t="str">
        <f aca="false">IF(B85="","",ROUND(B85/(1-IMPOSTOS-C85),2))</f>
        <v/>
      </c>
      <c r="E85" s="35" t="str">
        <f aca="false">IF(B85="","",ROUND(B85/(1-IMPOSTOS-C85-TAXA_3X),2))</f>
        <v/>
      </c>
      <c r="F85" s="35" t="str">
        <f aca="false">IF(B85="","",ROUND(B85/(1-IMPOSTOS-C85-TAXA_6X),2))</f>
        <v/>
      </c>
      <c r="G85" s="35" t="str">
        <f aca="false">IF(B85="","",ROUND(B85/(1-IMPOSTOS-C85-TAXA_10X),2))</f>
        <v/>
      </c>
    </row>
    <row r="86" customFormat="false" ht="15.75" hidden="false" customHeight="true" outlineLevel="0" collapsed="false">
      <c r="A86" s="34" t="n">
        <f aca="false">PRODUTOS!A86</f>
        <v>0</v>
      </c>
      <c r="B86" s="35" t="str">
        <f aca="false">IF(PRODUTOS!E86="","",PRODUTOS!E86*(1-ICMS_CREDITO))</f>
        <v/>
      </c>
      <c r="C86" s="34" t="n">
        <f aca="false">IF(PRODUTOS!F86="",MARGEM_PADRAO,PRODUTOS!F86)</f>
        <v>0.3</v>
      </c>
      <c r="D86" s="35" t="str">
        <f aca="false">IF(B86="","",ROUND(B86/(1-IMPOSTOS-C86),2))</f>
        <v/>
      </c>
      <c r="E86" s="35" t="str">
        <f aca="false">IF(B86="","",ROUND(B86/(1-IMPOSTOS-C86-TAXA_3X),2))</f>
        <v/>
      </c>
      <c r="F86" s="35" t="str">
        <f aca="false">IF(B86="","",ROUND(B86/(1-IMPOSTOS-C86-TAXA_6X),2))</f>
        <v/>
      </c>
      <c r="G86" s="35" t="str">
        <f aca="false">IF(B86="","",ROUND(B86/(1-IMPOSTOS-C86-TAXA_10X),2))</f>
        <v/>
      </c>
    </row>
    <row r="87" customFormat="false" ht="15.75" hidden="false" customHeight="true" outlineLevel="0" collapsed="false">
      <c r="A87" s="34" t="n">
        <f aca="false">PRODUTOS!A87</f>
        <v>0</v>
      </c>
      <c r="B87" s="35" t="str">
        <f aca="false">IF(PRODUTOS!E87="","",PRODUTOS!E87*(1-ICMS_CREDITO))</f>
        <v/>
      </c>
      <c r="C87" s="34" t="n">
        <f aca="false">IF(PRODUTOS!F87="",MARGEM_PADRAO,PRODUTOS!F87)</f>
        <v>0.3</v>
      </c>
      <c r="D87" s="35" t="str">
        <f aca="false">IF(B87="","",ROUND(B87/(1-IMPOSTOS-C87),2))</f>
        <v/>
      </c>
      <c r="E87" s="35" t="str">
        <f aca="false">IF(B87="","",ROUND(B87/(1-IMPOSTOS-C87-TAXA_3X),2))</f>
        <v/>
      </c>
      <c r="F87" s="35" t="str">
        <f aca="false">IF(B87="","",ROUND(B87/(1-IMPOSTOS-C87-TAXA_6X),2))</f>
        <v/>
      </c>
      <c r="G87" s="35" t="str">
        <f aca="false">IF(B87="","",ROUND(B87/(1-IMPOSTOS-C87-TAXA_10X),2))</f>
        <v/>
      </c>
    </row>
    <row r="88" customFormat="false" ht="15.75" hidden="false" customHeight="true" outlineLevel="0" collapsed="false">
      <c r="A88" s="34" t="n">
        <f aca="false">PRODUTOS!A88</f>
        <v>0</v>
      </c>
      <c r="B88" s="35" t="str">
        <f aca="false">IF(PRODUTOS!E88="","",PRODUTOS!E88*(1-ICMS_CREDITO))</f>
        <v/>
      </c>
      <c r="C88" s="34" t="n">
        <f aca="false">IF(PRODUTOS!F88="",MARGEM_PADRAO,PRODUTOS!F88)</f>
        <v>0.3</v>
      </c>
      <c r="D88" s="35" t="str">
        <f aca="false">IF(B88="","",ROUND(B88/(1-IMPOSTOS-C88),2))</f>
        <v/>
      </c>
      <c r="E88" s="35" t="str">
        <f aca="false">IF(B88="","",ROUND(B88/(1-IMPOSTOS-C88-TAXA_3X),2))</f>
        <v/>
      </c>
      <c r="F88" s="35" t="str">
        <f aca="false">IF(B88="","",ROUND(B88/(1-IMPOSTOS-C88-TAXA_6X),2))</f>
        <v/>
      </c>
      <c r="G88" s="35" t="str">
        <f aca="false">IF(B88="","",ROUND(B88/(1-IMPOSTOS-C88-TAXA_10X),2))</f>
        <v/>
      </c>
    </row>
    <row r="89" customFormat="false" ht="15.75" hidden="false" customHeight="true" outlineLevel="0" collapsed="false">
      <c r="A89" s="34" t="n">
        <f aca="false">PRODUTOS!A89</f>
        <v>0</v>
      </c>
      <c r="B89" s="35" t="str">
        <f aca="false">IF(PRODUTOS!E89="","",PRODUTOS!E89*(1-ICMS_CREDITO))</f>
        <v/>
      </c>
      <c r="C89" s="34" t="n">
        <f aca="false">IF(PRODUTOS!F89="",MARGEM_PADRAO,PRODUTOS!F89)</f>
        <v>0.3</v>
      </c>
      <c r="D89" s="35" t="str">
        <f aca="false">IF(B89="","",ROUND(B89/(1-IMPOSTOS-C89),2))</f>
        <v/>
      </c>
      <c r="E89" s="35" t="str">
        <f aca="false">IF(B89="","",ROUND(B89/(1-IMPOSTOS-C89-TAXA_3X),2))</f>
        <v/>
      </c>
      <c r="F89" s="35" t="str">
        <f aca="false">IF(B89="","",ROUND(B89/(1-IMPOSTOS-C89-TAXA_6X),2))</f>
        <v/>
      </c>
      <c r="G89" s="35" t="str">
        <f aca="false">IF(B89="","",ROUND(B89/(1-IMPOSTOS-C89-TAXA_10X),2))</f>
        <v/>
      </c>
    </row>
    <row r="90" customFormat="false" ht="15.75" hidden="false" customHeight="true" outlineLevel="0" collapsed="false">
      <c r="A90" s="34" t="n">
        <f aca="false">PRODUTOS!A90</f>
        <v>0</v>
      </c>
      <c r="B90" s="35" t="str">
        <f aca="false">IF(PRODUTOS!E90="","",PRODUTOS!E90*(1-ICMS_CREDITO))</f>
        <v/>
      </c>
      <c r="C90" s="34" t="n">
        <f aca="false">IF(PRODUTOS!F90="",MARGEM_PADRAO,PRODUTOS!F90)</f>
        <v>0.3</v>
      </c>
      <c r="D90" s="35" t="str">
        <f aca="false">IF(B90="","",ROUND(B90/(1-IMPOSTOS-C90),2))</f>
        <v/>
      </c>
      <c r="E90" s="35" t="str">
        <f aca="false">IF(B90="","",ROUND(B90/(1-IMPOSTOS-C90-TAXA_3X),2))</f>
        <v/>
      </c>
      <c r="F90" s="35" t="str">
        <f aca="false">IF(B90="","",ROUND(B90/(1-IMPOSTOS-C90-TAXA_6X),2))</f>
        <v/>
      </c>
      <c r="G90" s="35" t="str">
        <f aca="false">IF(B90="","",ROUND(B90/(1-IMPOSTOS-C90-TAXA_10X),2))</f>
        <v/>
      </c>
    </row>
    <row r="91" customFormat="false" ht="15.75" hidden="false" customHeight="true" outlineLevel="0" collapsed="false">
      <c r="A91" s="34" t="n">
        <f aca="false">PRODUTOS!A91</f>
        <v>0</v>
      </c>
      <c r="B91" s="35" t="str">
        <f aca="false">IF(PRODUTOS!E91="","",PRODUTOS!E91*(1-ICMS_CREDITO))</f>
        <v/>
      </c>
      <c r="C91" s="34" t="n">
        <f aca="false">IF(PRODUTOS!F91="",MARGEM_PADRAO,PRODUTOS!F91)</f>
        <v>0.3</v>
      </c>
      <c r="D91" s="35" t="str">
        <f aca="false">IF(B91="","",ROUND(B91/(1-IMPOSTOS-C91),2))</f>
        <v/>
      </c>
      <c r="E91" s="35" t="str">
        <f aca="false">IF(B91="","",ROUND(B91/(1-IMPOSTOS-C91-TAXA_3X),2))</f>
        <v/>
      </c>
      <c r="F91" s="35" t="str">
        <f aca="false">IF(B91="","",ROUND(B91/(1-IMPOSTOS-C91-TAXA_6X),2))</f>
        <v/>
      </c>
      <c r="G91" s="35" t="str">
        <f aca="false">IF(B91="","",ROUND(B91/(1-IMPOSTOS-C91-TAXA_10X),2))</f>
        <v/>
      </c>
    </row>
    <row r="92" customFormat="false" ht="15.75" hidden="false" customHeight="true" outlineLevel="0" collapsed="false">
      <c r="A92" s="34" t="n">
        <f aca="false">PRODUTOS!A92</f>
        <v>0</v>
      </c>
      <c r="B92" s="35" t="str">
        <f aca="false">IF(PRODUTOS!E92="","",PRODUTOS!E92*(1-ICMS_CREDITO))</f>
        <v/>
      </c>
      <c r="C92" s="34" t="n">
        <f aca="false">IF(PRODUTOS!F92="",MARGEM_PADRAO,PRODUTOS!F92)</f>
        <v>0.3</v>
      </c>
      <c r="D92" s="35" t="str">
        <f aca="false">IF(B92="","",ROUND(B92/(1-IMPOSTOS-C92),2))</f>
        <v/>
      </c>
      <c r="E92" s="35" t="str">
        <f aca="false">IF(B92="","",ROUND(B92/(1-IMPOSTOS-C92-TAXA_3X),2))</f>
        <v/>
      </c>
      <c r="F92" s="35" t="str">
        <f aca="false">IF(B92="","",ROUND(B92/(1-IMPOSTOS-C92-TAXA_6X),2))</f>
        <v/>
      </c>
      <c r="G92" s="35" t="str">
        <f aca="false">IF(B92="","",ROUND(B92/(1-IMPOSTOS-C92-TAXA_10X),2))</f>
        <v/>
      </c>
    </row>
    <row r="93" customFormat="false" ht="15.75" hidden="false" customHeight="true" outlineLevel="0" collapsed="false">
      <c r="A93" s="34" t="n">
        <f aca="false">PRODUTOS!A93</f>
        <v>0</v>
      </c>
      <c r="B93" s="35" t="str">
        <f aca="false">IF(PRODUTOS!E93="","",PRODUTOS!E93*(1-ICMS_CREDITO))</f>
        <v/>
      </c>
      <c r="C93" s="34" t="n">
        <f aca="false">IF(PRODUTOS!F93="",MARGEM_PADRAO,PRODUTOS!F93)</f>
        <v>0.3</v>
      </c>
      <c r="D93" s="35" t="str">
        <f aca="false">IF(B93="","",ROUND(B93/(1-IMPOSTOS-C93),2))</f>
        <v/>
      </c>
      <c r="E93" s="35" t="str">
        <f aca="false">IF(B93="","",ROUND(B93/(1-IMPOSTOS-C93-TAXA_3X),2))</f>
        <v/>
      </c>
      <c r="F93" s="35" t="str">
        <f aca="false">IF(B93="","",ROUND(B93/(1-IMPOSTOS-C93-TAXA_6X),2))</f>
        <v/>
      </c>
      <c r="G93" s="35" t="str">
        <f aca="false">IF(B93="","",ROUND(B93/(1-IMPOSTOS-C93-TAXA_10X),2))</f>
        <v/>
      </c>
    </row>
    <row r="94" customFormat="false" ht="15.75" hidden="false" customHeight="true" outlineLevel="0" collapsed="false">
      <c r="A94" s="34" t="n">
        <f aca="false">PRODUTOS!A94</f>
        <v>0</v>
      </c>
      <c r="B94" s="35" t="str">
        <f aca="false">IF(PRODUTOS!E94="","",PRODUTOS!E94*(1-ICMS_CREDITO))</f>
        <v/>
      </c>
      <c r="C94" s="34" t="n">
        <f aca="false">IF(PRODUTOS!F94="",MARGEM_PADRAO,PRODUTOS!F94)</f>
        <v>0.3</v>
      </c>
      <c r="D94" s="35" t="str">
        <f aca="false">IF(B94="","",ROUND(B94/(1-IMPOSTOS-C94),2))</f>
        <v/>
      </c>
      <c r="E94" s="35" t="str">
        <f aca="false">IF(B94="","",ROUND(B94/(1-IMPOSTOS-C94-TAXA_3X),2))</f>
        <v/>
      </c>
      <c r="F94" s="35" t="str">
        <f aca="false">IF(B94="","",ROUND(B94/(1-IMPOSTOS-C94-TAXA_6X),2))</f>
        <v/>
      </c>
      <c r="G94" s="35" t="str">
        <f aca="false">IF(B94="","",ROUND(B94/(1-IMPOSTOS-C94-TAXA_10X),2))</f>
        <v/>
      </c>
    </row>
    <row r="95" customFormat="false" ht="15.75" hidden="false" customHeight="true" outlineLevel="0" collapsed="false">
      <c r="A95" s="34" t="n">
        <f aca="false">PRODUTOS!A95</f>
        <v>0</v>
      </c>
      <c r="B95" s="35" t="str">
        <f aca="false">IF(PRODUTOS!E95="","",PRODUTOS!E95*(1-ICMS_CREDITO))</f>
        <v/>
      </c>
      <c r="C95" s="34" t="n">
        <f aca="false">IF(PRODUTOS!F95="",MARGEM_PADRAO,PRODUTOS!F95)</f>
        <v>0.3</v>
      </c>
      <c r="D95" s="35" t="str">
        <f aca="false">IF(B95="","",ROUND(B95/(1-IMPOSTOS-C95),2))</f>
        <v/>
      </c>
      <c r="E95" s="35" t="str">
        <f aca="false">IF(B95="","",ROUND(B95/(1-IMPOSTOS-C95-TAXA_3X),2))</f>
        <v/>
      </c>
      <c r="F95" s="35" t="str">
        <f aca="false">IF(B95="","",ROUND(B95/(1-IMPOSTOS-C95-TAXA_6X),2))</f>
        <v/>
      </c>
      <c r="G95" s="35" t="str">
        <f aca="false">IF(B95="","",ROUND(B95/(1-IMPOSTOS-C95-TAXA_10X),2))</f>
        <v/>
      </c>
    </row>
    <row r="96" customFormat="false" ht="15.75" hidden="false" customHeight="true" outlineLevel="0" collapsed="false">
      <c r="A96" s="34" t="n">
        <f aca="false">PRODUTOS!A96</f>
        <v>0</v>
      </c>
      <c r="B96" s="35" t="str">
        <f aca="false">IF(PRODUTOS!E96="","",PRODUTOS!E96*(1-ICMS_CREDITO))</f>
        <v/>
      </c>
      <c r="C96" s="34" t="n">
        <f aca="false">IF(PRODUTOS!F96="",MARGEM_PADRAO,PRODUTOS!F96)</f>
        <v>0.3</v>
      </c>
      <c r="D96" s="35" t="str">
        <f aca="false">IF(B96="","",ROUND(B96/(1-IMPOSTOS-C96),2))</f>
        <v/>
      </c>
      <c r="E96" s="35" t="str">
        <f aca="false">IF(B96="","",ROUND(B96/(1-IMPOSTOS-C96-TAXA_3X),2))</f>
        <v/>
      </c>
      <c r="F96" s="35" t="str">
        <f aca="false">IF(B96="","",ROUND(B96/(1-IMPOSTOS-C96-TAXA_6X),2))</f>
        <v/>
      </c>
      <c r="G96" s="35" t="str">
        <f aca="false">IF(B96="","",ROUND(B96/(1-IMPOSTOS-C96-TAXA_10X),2))</f>
        <v/>
      </c>
    </row>
    <row r="97" customFormat="false" ht="15.75" hidden="false" customHeight="true" outlineLevel="0" collapsed="false">
      <c r="A97" s="34" t="n">
        <f aca="false">PRODUTOS!A97</f>
        <v>0</v>
      </c>
      <c r="B97" s="35" t="str">
        <f aca="false">IF(PRODUTOS!E97="","",PRODUTOS!E97*(1-ICMS_CREDITO))</f>
        <v/>
      </c>
      <c r="C97" s="34" t="n">
        <f aca="false">IF(PRODUTOS!F97="",MARGEM_PADRAO,PRODUTOS!F97)</f>
        <v>0.3</v>
      </c>
      <c r="D97" s="35" t="str">
        <f aca="false">IF(B97="","",ROUND(B97/(1-IMPOSTOS-C97),2))</f>
        <v/>
      </c>
      <c r="E97" s="35" t="str">
        <f aca="false">IF(B97="","",ROUND(B97/(1-IMPOSTOS-C97-TAXA_3X),2))</f>
        <v/>
      </c>
      <c r="F97" s="35" t="str">
        <f aca="false">IF(B97="","",ROUND(B97/(1-IMPOSTOS-C97-TAXA_6X),2))</f>
        <v/>
      </c>
      <c r="G97" s="35" t="str">
        <f aca="false">IF(B97="","",ROUND(B97/(1-IMPOSTOS-C97-TAXA_10X),2))</f>
        <v/>
      </c>
    </row>
    <row r="98" customFormat="false" ht="15.75" hidden="false" customHeight="true" outlineLevel="0" collapsed="false">
      <c r="A98" s="34" t="n">
        <f aca="false">PRODUTOS!A98</f>
        <v>0</v>
      </c>
      <c r="B98" s="35" t="str">
        <f aca="false">IF(PRODUTOS!E98="","",PRODUTOS!E98*(1-ICMS_CREDITO))</f>
        <v/>
      </c>
      <c r="C98" s="34" t="n">
        <f aca="false">IF(PRODUTOS!F98="",MARGEM_PADRAO,PRODUTOS!F98)</f>
        <v>0.3</v>
      </c>
      <c r="D98" s="35" t="str">
        <f aca="false">IF(B98="","",ROUND(B98/(1-IMPOSTOS-C98),2))</f>
        <v/>
      </c>
      <c r="E98" s="35" t="str">
        <f aca="false">IF(B98="","",ROUND(B98/(1-IMPOSTOS-C98-TAXA_3X),2))</f>
        <v/>
      </c>
      <c r="F98" s="35" t="str">
        <f aca="false">IF(B98="","",ROUND(B98/(1-IMPOSTOS-C98-TAXA_6X),2))</f>
        <v/>
      </c>
      <c r="G98" s="35" t="str">
        <f aca="false">IF(B98="","",ROUND(B98/(1-IMPOSTOS-C98-TAXA_10X),2))</f>
        <v/>
      </c>
    </row>
    <row r="99" customFormat="false" ht="15.75" hidden="false" customHeight="true" outlineLevel="0" collapsed="false">
      <c r="A99" s="34" t="n">
        <f aca="false">PRODUTOS!A99</f>
        <v>0</v>
      </c>
      <c r="B99" s="35" t="str">
        <f aca="false">IF(PRODUTOS!E99="","",PRODUTOS!E99*(1-ICMS_CREDITO))</f>
        <v/>
      </c>
      <c r="C99" s="34" t="n">
        <f aca="false">IF(PRODUTOS!F99="",MARGEM_PADRAO,PRODUTOS!F99)</f>
        <v>0.3</v>
      </c>
      <c r="D99" s="35" t="str">
        <f aca="false">IF(B99="","",ROUND(B99/(1-IMPOSTOS-C99),2))</f>
        <v/>
      </c>
      <c r="E99" s="35" t="str">
        <f aca="false">IF(B99="","",ROUND(B99/(1-IMPOSTOS-C99-TAXA_3X),2))</f>
        <v/>
      </c>
      <c r="F99" s="35" t="str">
        <f aca="false">IF(B99="","",ROUND(B99/(1-IMPOSTOS-C99-TAXA_6X),2))</f>
        <v/>
      </c>
      <c r="G99" s="35" t="str">
        <f aca="false">IF(B99="","",ROUND(B99/(1-IMPOSTOS-C99-TAXA_10X),2))</f>
        <v/>
      </c>
    </row>
    <row r="100" customFormat="false" ht="15.75" hidden="false" customHeight="true" outlineLevel="0" collapsed="false">
      <c r="A100" s="34" t="n">
        <f aca="false">PRODUTOS!A100</f>
        <v>0</v>
      </c>
      <c r="B100" s="35" t="str">
        <f aca="false">IF(PRODUTOS!E100="","",PRODUTOS!E100*(1-ICMS_CREDITO))</f>
        <v/>
      </c>
      <c r="C100" s="34" t="n">
        <f aca="false">IF(PRODUTOS!F100="",MARGEM_PADRAO,PRODUTOS!F100)</f>
        <v>0.3</v>
      </c>
      <c r="D100" s="35" t="str">
        <f aca="false">IF(B100="","",ROUND(B100/(1-IMPOSTOS-C100),2))</f>
        <v/>
      </c>
      <c r="E100" s="35" t="str">
        <f aca="false">IF(B100="","",ROUND(B100/(1-IMPOSTOS-C100-TAXA_3X),2))</f>
        <v/>
      </c>
      <c r="F100" s="35" t="str">
        <f aca="false">IF(B100="","",ROUND(B100/(1-IMPOSTOS-C100-TAXA_6X),2))</f>
        <v/>
      </c>
      <c r="G100" s="35" t="str">
        <f aca="false">IF(B100="","",ROUND(B100/(1-IMPOSTOS-C100-TAXA_10X),2))</f>
        <v/>
      </c>
    </row>
    <row r="101" customFormat="false" ht="15.75" hidden="false" customHeight="true" outlineLevel="0" collapsed="false">
      <c r="A101" s="34" t="n">
        <f aca="false">PRODUTOS!A101</f>
        <v>0</v>
      </c>
      <c r="B101" s="35" t="str">
        <f aca="false">IF(PRODUTOS!E101="","",PRODUTOS!E101*(1-ICMS_CREDITO))</f>
        <v/>
      </c>
      <c r="C101" s="34" t="n">
        <f aca="false">IF(PRODUTOS!F101="",MARGEM_PADRAO,PRODUTOS!F101)</f>
        <v>0.3</v>
      </c>
      <c r="D101" s="35" t="str">
        <f aca="false">IF(B101="","",ROUND(B101/(1-IMPOSTOS-C101),2))</f>
        <v/>
      </c>
      <c r="E101" s="35" t="str">
        <f aca="false">IF(B101="","",ROUND(B101/(1-IMPOSTOS-C101-TAXA_3X),2))</f>
        <v/>
      </c>
      <c r="F101" s="35" t="str">
        <f aca="false">IF(B101="","",ROUND(B101/(1-IMPOSTOS-C101-TAXA_6X),2))</f>
        <v/>
      </c>
      <c r="G101" s="35" t="str">
        <f aca="false">IF(B101="","",ROUND(B101/(1-IMPOSTOS-C101-TAXA_10X),2))</f>
        <v/>
      </c>
    </row>
    <row r="102" customFormat="false" ht="15.75" hidden="false" customHeight="true" outlineLevel="0" collapsed="false">
      <c r="A102" s="34" t="n">
        <f aca="false">PRODUTOS!A102</f>
        <v>0</v>
      </c>
      <c r="B102" s="35" t="str">
        <f aca="false">IF(PRODUTOS!E102="","",PRODUTOS!E102*(1-ICMS_CREDITO))</f>
        <v/>
      </c>
      <c r="C102" s="34" t="n">
        <f aca="false">IF(PRODUTOS!F102="",MARGEM_PADRAO,PRODUTOS!F102)</f>
        <v>0.3</v>
      </c>
      <c r="D102" s="35" t="str">
        <f aca="false">IF(B102="","",ROUND(B102/(1-IMPOSTOS-C102),2))</f>
        <v/>
      </c>
      <c r="E102" s="35" t="str">
        <f aca="false">IF(B102="","",ROUND(B102/(1-IMPOSTOS-C102-TAXA_3X),2))</f>
        <v/>
      </c>
      <c r="F102" s="35" t="str">
        <f aca="false">IF(B102="","",ROUND(B102/(1-IMPOSTOS-C102-TAXA_6X),2))</f>
        <v/>
      </c>
      <c r="G102" s="35" t="str">
        <f aca="false">IF(B102="","",ROUND(B102/(1-IMPOSTOS-C102-TAXA_10X),2))</f>
        <v/>
      </c>
    </row>
    <row r="103" customFormat="false" ht="15.75" hidden="false" customHeight="true" outlineLevel="0" collapsed="false">
      <c r="A103" s="34" t="n">
        <f aca="false">PRODUTOS!A103</f>
        <v>0</v>
      </c>
      <c r="B103" s="35" t="str">
        <f aca="false">IF(PRODUTOS!E103="","",PRODUTOS!E103*(1-ICMS_CREDITO))</f>
        <v/>
      </c>
      <c r="C103" s="34" t="n">
        <f aca="false">IF(PRODUTOS!F103="",MARGEM_PADRAO,PRODUTOS!F103)</f>
        <v>0.3</v>
      </c>
      <c r="D103" s="35" t="str">
        <f aca="false">IF(B103="","",ROUND(B103/(1-IMPOSTOS-C103),2))</f>
        <v/>
      </c>
      <c r="E103" s="35" t="str">
        <f aca="false">IF(B103="","",ROUND(B103/(1-IMPOSTOS-C103-TAXA_3X),2))</f>
        <v/>
      </c>
      <c r="F103" s="35" t="str">
        <f aca="false">IF(B103="","",ROUND(B103/(1-IMPOSTOS-C103-TAXA_6X),2))</f>
        <v/>
      </c>
      <c r="G103" s="35" t="str">
        <f aca="false">IF(B103="","",ROUND(B103/(1-IMPOSTOS-C103-TAXA_10X),2))</f>
        <v/>
      </c>
    </row>
    <row r="104" customFormat="false" ht="15.75" hidden="false" customHeight="true" outlineLevel="0" collapsed="false">
      <c r="A104" s="34" t="n">
        <f aca="false">PRODUTOS!A104</f>
        <v>0</v>
      </c>
      <c r="B104" s="35" t="str">
        <f aca="false">IF(PRODUTOS!E104="","",PRODUTOS!E104*(1-ICMS_CREDITO))</f>
        <v/>
      </c>
      <c r="C104" s="34" t="n">
        <f aca="false">IF(PRODUTOS!F104="",MARGEM_PADRAO,PRODUTOS!F104)</f>
        <v>0.3</v>
      </c>
      <c r="D104" s="35" t="str">
        <f aca="false">IF(B104="","",ROUND(B104/(1-IMPOSTOS-C104),2))</f>
        <v/>
      </c>
      <c r="E104" s="35" t="str">
        <f aca="false">IF(B104="","",ROUND(B104/(1-IMPOSTOS-C104-TAXA_3X),2))</f>
        <v/>
      </c>
      <c r="F104" s="35" t="str">
        <f aca="false">IF(B104="","",ROUND(B104/(1-IMPOSTOS-C104-TAXA_6X),2))</f>
        <v/>
      </c>
      <c r="G104" s="35" t="str">
        <f aca="false">IF(B104="","",ROUND(B104/(1-IMPOSTOS-C104-TAXA_10X),2))</f>
        <v/>
      </c>
    </row>
    <row r="105" customFormat="false" ht="15.75" hidden="false" customHeight="true" outlineLevel="0" collapsed="false">
      <c r="A105" s="34" t="n">
        <f aca="false">PRODUTOS!A105</f>
        <v>0</v>
      </c>
      <c r="B105" s="35" t="str">
        <f aca="false">IF(PRODUTOS!E105="","",PRODUTOS!E105*(1-ICMS_CREDITO))</f>
        <v/>
      </c>
      <c r="C105" s="34" t="n">
        <f aca="false">IF(PRODUTOS!F105="",MARGEM_PADRAO,PRODUTOS!F105)</f>
        <v>0.3</v>
      </c>
      <c r="D105" s="35" t="str">
        <f aca="false">IF(B105="","",ROUND(B105/(1-IMPOSTOS-C105),2))</f>
        <v/>
      </c>
      <c r="E105" s="35" t="str">
        <f aca="false">IF(B105="","",ROUND(B105/(1-IMPOSTOS-C105-TAXA_3X),2))</f>
        <v/>
      </c>
      <c r="F105" s="35" t="str">
        <f aca="false">IF(B105="","",ROUND(B105/(1-IMPOSTOS-C105-TAXA_6X),2))</f>
        <v/>
      </c>
      <c r="G105" s="35" t="str">
        <f aca="false">IF(B105="","",ROUND(B105/(1-IMPOSTOS-C105-TAXA_10X),2))</f>
        <v/>
      </c>
    </row>
    <row r="106" customFormat="false" ht="15.75" hidden="false" customHeight="true" outlineLevel="0" collapsed="false">
      <c r="A106" s="34" t="n">
        <f aca="false">PRODUTOS!A106</f>
        <v>0</v>
      </c>
      <c r="B106" s="35" t="str">
        <f aca="false">IF(PRODUTOS!E106="","",PRODUTOS!E106*(1-ICMS_CREDITO))</f>
        <v/>
      </c>
      <c r="C106" s="34" t="n">
        <f aca="false">IF(PRODUTOS!F106="",MARGEM_PADRAO,PRODUTOS!F106)</f>
        <v>0.3</v>
      </c>
      <c r="D106" s="35" t="str">
        <f aca="false">IF(B106="","",ROUND(B106/(1-IMPOSTOS-C106),2))</f>
        <v/>
      </c>
      <c r="E106" s="35" t="str">
        <f aca="false">IF(B106="","",ROUND(B106/(1-IMPOSTOS-C106-TAXA_3X),2))</f>
        <v/>
      </c>
      <c r="F106" s="35" t="str">
        <f aca="false">IF(B106="","",ROUND(B106/(1-IMPOSTOS-C106-TAXA_6X),2))</f>
        <v/>
      </c>
      <c r="G106" s="35" t="str">
        <f aca="false">IF(B106="","",ROUND(B106/(1-IMPOSTOS-C106-TAXA_10X),2))</f>
        <v/>
      </c>
    </row>
    <row r="107" customFormat="false" ht="15.75" hidden="false" customHeight="true" outlineLevel="0" collapsed="false">
      <c r="A107" s="34" t="n">
        <f aca="false">PRODUTOS!A107</f>
        <v>0</v>
      </c>
      <c r="B107" s="35" t="str">
        <f aca="false">IF(PRODUTOS!E107="","",PRODUTOS!E107*(1-ICMS_CREDITO))</f>
        <v/>
      </c>
      <c r="C107" s="34" t="n">
        <f aca="false">IF(PRODUTOS!F107="",MARGEM_PADRAO,PRODUTOS!F107)</f>
        <v>0.3</v>
      </c>
      <c r="D107" s="35" t="str">
        <f aca="false">IF(B107="","",ROUND(B107/(1-IMPOSTOS-C107),2))</f>
        <v/>
      </c>
      <c r="E107" s="35" t="str">
        <f aca="false">IF(B107="","",ROUND(B107/(1-IMPOSTOS-C107-TAXA_3X),2))</f>
        <v/>
      </c>
      <c r="F107" s="35" t="str">
        <f aca="false">IF(B107="","",ROUND(B107/(1-IMPOSTOS-C107-TAXA_6X),2))</f>
        <v/>
      </c>
      <c r="G107" s="35" t="str">
        <f aca="false">IF(B107="","",ROUND(B107/(1-IMPOSTOS-C107-TAXA_10X),2))</f>
        <v/>
      </c>
    </row>
    <row r="108" customFormat="false" ht="15.75" hidden="false" customHeight="true" outlineLevel="0" collapsed="false">
      <c r="A108" s="34" t="n">
        <f aca="false">PRODUTOS!A108</f>
        <v>0</v>
      </c>
      <c r="B108" s="35" t="str">
        <f aca="false">IF(PRODUTOS!E108="","",PRODUTOS!E108*(1-ICMS_CREDITO))</f>
        <v/>
      </c>
      <c r="C108" s="34" t="n">
        <f aca="false">IF(PRODUTOS!F108="",MARGEM_PADRAO,PRODUTOS!F108)</f>
        <v>0.3</v>
      </c>
      <c r="D108" s="35" t="str">
        <f aca="false">IF(B108="","",ROUND(B108/(1-IMPOSTOS-C108),2))</f>
        <v/>
      </c>
      <c r="E108" s="35" t="str">
        <f aca="false">IF(B108="","",ROUND(B108/(1-IMPOSTOS-C108-TAXA_3X),2))</f>
        <v/>
      </c>
      <c r="F108" s="35" t="str">
        <f aca="false">IF(B108="","",ROUND(B108/(1-IMPOSTOS-C108-TAXA_6X),2))</f>
        <v/>
      </c>
      <c r="G108" s="35" t="str">
        <f aca="false">IF(B108="","",ROUND(B108/(1-IMPOSTOS-C108-TAXA_10X),2))</f>
        <v/>
      </c>
    </row>
    <row r="109" customFormat="false" ht="15.75" hidden="false" customHeight="true" outlineLevel="0" collapsed="false">
      <c r="A109" s="34" t="n">
        <f aca="false">PRODUTOS!A109</f>
        <v>0</v>
      </c>
      <c r="B109" s="35" t="str">
        <f aca="false">IF(PRODUTOS!E109="","",PRODUTOS!E109*(1-ICMS_CREDITO))</f>
        <v/>
      </c>
      <c r="C109" s="34" t="n">
        <f aca="false">IF(PRODUTOS!F109="",MARGEM_PADRAO,PRODUTOS!F109)</f>
        <v>0.3</v>
      </c>
      <c r="D109" s="35" t="str">
        <f aca="false">IF(B109="","",ROUND(B109/(1-IMPOSTOS-C109),2))</f>
        <v/>
      </c>
      <c r="E109" s="35" t="str">
        <f aca="false">IF(B109="","",ROUND(B109/(1-IMPOSTOS-C109-TAXA_3X),2))</f>
        <v/>
      </c>
      <c r="F109" s="35" t="str">
        <f aca="false">IF(B109="","",ROUND(B109/(1-IMPOSTOS-C109-TAXA_6X),2))</f>
        <v/>
      </c>
      <c r="G109" s="35" t="str">
        <f aca="false">IF(B109="","",ROUND(B109/(1-IMPOSTOS-C109-TAXA_10X),2))</f>
        <v/>
      </c>
    </row>
    <row r="110" customFormat="false" ht="15.75" hidden="false" customHeight="true" outlineLevel="0" collapsed="false">
      <c r="A110" s="34" t="n">
        <f aca="false">PRODUTOS!A110</f>
        <v>0</v>
      </c>
      <c r="B110" s="35" t="str">
        <f aca="false">IF(PRODUTOS!E110="","",PRODUTOS!E110*(1-ICMS_CREDITO))</f>
        <v/>
      </c>
      <c r="C110" s="34" t="n">
        <f aca="false">IF(PRODUTOS!F110="",MARGEM_PADRAO,PRODUTOS!F110)</f>
        <v>0.3</v>
      </c>
      <c r="D110" s="35" t="str">
        <f aca="false">IF(B110="","",ROUND(B110/(1-IMPOSTOS-C110),2))</f>
        <v/>
      </c>
      <c r="E110" s="35" t="str">
        <f aca="false">IF(B110="","",ROUND(B110/(1-IMPOSTOS-C110-TAXA_3X),2))</f>
        <v/>
      </c>
      <c r="F110" s="35" t="str">
        <f aca="false">IF(B110="","",ROUND(B110/(1-IMPOSTOS-C110-TAXA_6X),2))</f>
        <v/>
      </c>
      <c r="G110" s="35" t="str">
        <f aca="false">IF(B110="","",ROUND(B110/(1-IMPOSTOS-C110-TAXA_10X),2))</f>
        <v/>
      </c>
    </row>
    <row r="111" customFormat="false" ht="15.75" hidden="false" customHeight="true" outlineLevel="0" collapsed="false">
      <c r="A111" s="34" t="n">
        <f aca="false">PRODUTOS!A111</f>
        <v>0</v>
      </c>
      <c r="B111" s="35" t="str">
        <f aca="false">IF(PRODUTOS!E111="","",PRODUTOS!E111*(1-ICMS_CREDITO))</f>
        <v/>
      </c>
      <c r="C111" s="34" t="n">
        <f aca="false">IF(PRODUTOS!F111="",MARGEM_PADRAO,PRODUTOS!F111)</f>
        <v>0.3</v>
      </c>
      <c r="D111" s="35" t="str">
        <f aca="false">IF(B111="","",ROUND(B111/(1-IMPOSTOS-C111),2))</f>
        <v/>
      </c>
      <c r="E111" s="35" t="str">
        <f aca="false">IF(B111="","",ROUND(B111/(1-IMPOSTOS-C111-TAXA_3X),2))</f>
        <v/>
      </c>
      <c r="F111" s="35" t="str">
        <f aca="false">IF(B111="","",ROUND(B111/(1-IMPOSTOS-C111-TAXA_6X),2))</f>
        <v/>
      </c>
      <c r="G111" s="35" t="str">
        <f aca="false">IF(B111="","",ROUND(B111/(1-IMPOSTOS-C111-TAXA_10X),2))</f>
        <v/>
      </c>
    </row>
    <row r="112" customFormat="false" ht="15.75" hidden="false" customHeight="true" outlineLevel="0" collapsed="false">
      <c r="A112" s="34" t="n">
        <f aca="false">PRODUTOS!A112</f>
        <v>0</v>
      </c>
      <c r="B112" s="35" t="str">
        <f aca="false">IF(PRODUTOS!E112="","",PRODUTOS!E112*(1-ICMS_CREDITO))</f>
        <v/>
      </c>
      <c r="C112" s="34" t="n">
        <f aca="false">IF(PRODUTOS!F112="",MARGEM_PADRAO,PRODUTOS!F112)</f>
        <v>0.3</v>
      </c>
      <c r="D112" s="35" t="str">
        <f aca="false">IF(B112="","",ROUND(B112/(1-IMPOSTOS-C112),2))</f>
        <v/>
      </c>
      <c r="E112" s="35" t="str">
        <f aca="false">IF(B112="","",ROUND(B112/(1-IMPOSTOS-C112-TAXA_3X),2))</f>
        <v/>
      </c>
      <c r="F112" s="35" t="str">
        <f aca="false">IF(B112="","",ROUND(B112/(1-IMPOSTOS-C112-TAXA_6X),2))</f>
        <v/>
      </c>
      <c r="G112" s="35" t="str">
        <f aca="false">IF(B112="","",ROUND(B112/(1-IMPOSTOS-C112-TAXA_10X),2))</f>
        <v/>
      </c>
    </row>
    <row r="113" customFormat="false" ht="15.75" hidden="false" customHeight="true" outlineLevel="0" collapsed="false">
      <c r="A113" s="34" t="n">
        <f aca="false">PRODUTOS!A113</f>
        <v>0</v>
      </c>
      <c r="B113" s="35" t="str">
        <f aca="false">IF(PRODUTOS!E113="","",PRODUTOS!E113*(1-ICMS_CREDITO))</f>
        <v/>
      </c>
      <c r="C113" s="34" t="n">
        <f aca="false">IF(PRODUTOS!F113="",MARGEM_PADRAO,PRODUTOS!F113)</f>
        <v>0.3</v>
      </c>
      <c r="D113" s="35" t="str">
        <f aca="false">IF(B113="","",ROUND(B113/(1-IMPOSTOS-C113),2))</f>
        <v/>
      </c>
      <c r="E113" s="35" t="str">
        <f aca="false">IF(B113="","",ROUND(B113/(1-IMPOSTOS-C113-TAXA_3X),2))</f>
        <v/>
      </c>
      <c r="F113" s="35" t="str">
        <f aca="false">IF(B113="","",ROUND(B113/(1-IMPOSTOS-C113-TAXA_6X),2))</f>
        <v/>
      </c>
      <c r="G113" s="35" t="str">
        <f aca="false">IF(B113="","",ROUND(B113/(1-IMPOSTOS-C113-TAXA_10X),2))</f>
        <v/>
      </c>
    </row>
    <row r="114" customFormat="false" ht="15.75" hidden="false" customHeight="true" outlineLevel="0" collapsed="false">
      <c r="A114" s="34" t="n">
        <f aca="false">PRODUTOS!A114</f>
        <v>0</v>
      </c>
      <c r="B114" s="35" t="str">
        <f aca="false">IF(PRODUTOS!E114="","",PRODUTOS!E114*(1-ICMS_CREDITO))</f>
        <v/>
      </c>
      <c r="C114" s="34" t="n">
        <f aca="false">IF(PRODUTOS!F114="",MARGEM_PADRAO,PRODUTOS!F114)</f>
        <v>0.3</v>
      </c>
      <c r="D114" s="35" t="str">
        <f aca="false">IF(B114="","",ROUND(B114/(1-IMPOSTOS-C114),2))</f>
        <v/>
      </c>
      <c r="E114" s="35" t="str">
        <f aca="false">IF(B114="","",ROUND(B114/(1-IMPOSTOS-C114-TAXA_3X),2))</f>
        <v/>
      </c>
      <c r="F114" s="35" t="str">
        <f aca="false">IF(B114="","",ROUND(B114/(1-IMPOSTOS-C114-TAXA_6X),2))</f>
        <v/>
      </c>
      <c r="G114" s="35" t="str">
        <f aca="false">IF(B114="","",ROUND(B114/(1-IMPOSTOS-C114-TAXA_10X),2))</f>
        <v/>
      </c>
    </row>
    <row r="115" customFormat="false" ht="15.75" hidden="false" customHeight="true" outlineLevel="0" collapsed="false">
      <c r="A115" s="34" t="n">
        <f aca="false">PRODUTOS!A115</f>
        <v>0</v>
      </c>
      <c r="B115" s="35" t="str">
        <f aca="false">IF(PRODUTOS!E115="","",PRODUTOS!E115*(1-ICMS_CREDITO))</f>
        <v/>
      </c>
      <c r="C115" s="34" t="n">
        <f aca="false">IF(PRODUTOS!F115="",MARGEM_PADRAO,PRODUTOS!F115)</f>
        <v>0.3</v>
      </c>
      <c r="D115" s="35" t="str">
        <f aca="false">IF(B115="","",ROUND(B115/(1-IMPOSTOS-C115),2))</f>
        <v/>
      </c>
      <c r="E115" s="35" t="str">
        <f aca="false">IF(B115="","",ROUND(B115/(1-IMPOSTOS-C115-TAXA_3X),2))</f>
        <v/>
      </c>
      <c r="F115" s="35" t="str">
        <f aca="false">IF(B115="","",ROUND(B115/(1-IMPOSTOS-C115-TAXA_6X),2))</f>
        <v/>
      </c>
      <c r="G115" s="35" t="str">
        <f aca="false">IF(B115="","",ROUND(B115/(1-IMPOSTOS-C115-TAXA_10X),2))</f>
        <v/>
      </c>
    </row>
    <row r="116" customFormat="false" ht="15.75" hidden="false" customHeight="true" outlineLevel="0" collapsed="false">
      <c r="A116" s="34" t="n">
        <f aca="false">PRODUTOS!A116</f>
        <v>0</v>
      </c>
      <c r="B116" s="35" t="str">
        <f aca="false">IF(PRODUTOS!E116="","",PRODUTOS!E116*(1-ICMS_CREDITO))</f>
        <v/>
      </c>
      <c r="C116" s="34" t="n">
        <f aca="false">IF(PRODUTOS!F116="",MARGEM_PADRAO,PRODUTOS!F116)</f>
        <v>0.3</v>
      </c>
      <c r="D116" s="35" t="str">
        <f aca="false">IF(B116="","",ROUND(B116/(1-IMPOSTOS-C116),2))</f>
        <v/>
      </c>
      <c r="E116" s="35" t="str">
        <f aca="false">IF(B116="","",ROUND(B116/(1-IMPOSTOS-C116-TAXA_3X),2))</f>
        <v/>
      </c>
      <c r="F116" s="35" t="str">
        <f aca="false">IF(B116="","",ROUND(B116/(1-IMPOSTOS-C116-TAXA_6X),2))</f>
        <v/>
      </c>
      <c r="G116" s="35" t="str">
        <f aca="false">IF(B116="","",ROUND(B116/(1-IMPOSTOS-C116-TAXA_10X),2))</f>
        <v/>
      </c>
    </row>
    <row r="117" customFormat="false" ht="15.75" hidden="false" customHeight="true" outlineLevel="0" collapsed="false">
      <c r="A117" s="34" t="n">
        <f aca="false">PRODUTOS!A117</f>
        <v>0</v>
      </c>
      <c r="B117" s="35" t="str">
        <f aca="false">IF(PRODUTOS!E117="","",PRODUTOS!E117*(1-ICMS_CREDITO))</f>
        <v/>
      </c>
      <c r="C117" s="34" t="n">
        <f aca="false">IF(PRODUTOS!F117="",MARGEM_PADRAO,PRODUTOS!F117)</f>
        <v>0.3</v>
      </c>
      <c r="D117" s="35" t="str">
        <f aca="false">IF(B117="","",ROUND(B117/(1-IMPOSTOS-C117),2))</f>
        <v/>
      </c>
      <c r="E117" s="35" t="str">
        <f aca="false">IF(B117="","",ROUND(B117/(1-IMPOSTOS-C117-TAXA_3X),2))</f>
        <v/>
      </c>
      <c r="F117" s="35" t="str">
        <f aca="false">IF(B117="","",ROUND(B117/(1-IMPOSTOS-C117-TAXA_6X),2))</f>
        <v/>
      </c>
      <c r="G117" s="35" t="str">
        <f aca="false">IF(B117="","",ROUND(B117/(1-IMPOSTOS-C117-TAXA_10X),2))</f>
        <v/>
      </c>
    </row>
    <row r="118" customFormat="false" ht="15.75" hidden="false" customHeight="true" outlineLevel="0" collapsed="false">
      <c r="A118" s="34" t="n">
        <f aca="false">PRODUTOS!A118</f>
        <v>0</v>
      </c>
      <c r="B118" s="35" t="str">
        <f aca="false">IF(PRODUTOS!E118="","",PRODUTOS!E118*(1-ICMS_CREDITO))</f>
        <v/>
      </c>
      <c r="C118" s="34" t="n">
        <f aca="false">IF(PRODUTOS!F118="",MARGEM_PADRAO,PRODUTOS!F118)</f>
        <v>0.3</v>
      </c>
      <c r="D118" s="35" t="str">
        <f aca="false">IF(B118="","",ROUND(B118/(1-IMPOSTOS-C118),2))</f>
        <v/>
      </c>
      <c r="E118" s="35" t="str">
        <f aca="false">IF(B118="","",ROUND(B118/(1-IMPOSTOS-C118-TAXA_3X),2))</f>
        <v/>
      </c>
      <c r="F118" s="35" t="str">
        <f aca="false">IF(B118="","",ROUND(B118/(1-IMPOSTOS-C118-TAXA_6X),2))</f>
        <v/>
      </c>
      <c r="G118" s="35" t="str">
        <f aca="false">IF(B118="","",ROUND(B118/(1-IMPOSTOS-C118-TAXA_10X),2))</f>
        <v/>
      </c>
    </row>
    <row r="119" customFormat="false" ht="15.75" hidden="false" customHeight="true" outlineLevel="0" collapsed="false">
      <c r="A119" s="34" t="n">
        <f aca="false">PRODUTOS!A119</f>
        <v>0</v>
      </c>
      <c r="B119" s="35" t="str">
        <f aca="false">IF(PRODUTOS!E119="","",PRODUTOS!E119*(1-ICMS_CREDITO))</f>
        <v/>
      </c>
      <c r="C119" s="34" t="n">
        <f aca="false">IF(PRODUTOS!F119="",MARGEM_PADRAO,PRODUTOS!F119)</f>
        <v>0.3</v>
      </c>
      <c r="D119" s="35" t="str">
        <f aca="false">IF(B119="","",ROUND(B119/(1-IMPOSTOS-C119),2))</f>
        <v/>
      </c>
      <c r="E119" s="35" t="str">
        <f aca="false">IF(B119="","",ROUND(B119/(1-IMPOSTOS-C119-TAXA_3X),2))</f>
        <v/>
      </c>
      <c r="F119" s="35" t="str">
        <f aca="false">IF(B119="","",ROUND(B119/(1-IMPOSTOS-C119-TAXA_6X),2))</f>
        <v/>
      </c>
      <c r="G119" s="35" t="str">
        <f aca="false">IF(B119="","",ROUND(B119/(1-IMPOSTOS-C119-TAXA_10X),2))</f>
        <v/>
      </c>
    </row>
    <row r="120" customFormat="false" ht="15.75" hidden="false" customHeight="true" outlineLevel="0" collapsed="false">
      <c r="A120" s="34" t="n">
        <f aca="false">PRODUTOS!A120</f>
        <v>0</v>
      </c>
      <c r="B120" s="35" t="str">
        <f aca="false">IF(PRODUTOS!E120="","",PRODUTOS!E120*(1-ICMS_CREDITO))</f>
        <v/>
      </c>
      <c r="C120" s="34" t="n">
        <f aca="false">IF(PRODUTOS!F120="",MARGEM_PADRAO,PRODUTOS!F120)</f>
        <v>0.3</v>
      </c>
      <c r="D120" s="35" t="str">
        <f aca="false">IF(B120="","",ROUND(B120/(1-IMPOSTOS-C120),2))</f>
        <v/>
      </c>
      <c r="E120" s="35" t="str">
        <f aca="false">IF(B120="","",ROUND(B120/(1-IMPOSTOS-C120-TAXA_3X),2))</f>
        <v/>
      </c>
      <c r="F120" s="35" t="str">
        <f aca="false">IF(B120="","",ROUND(B120/(1-IMPOSTOS-C120-TAXA_6X),2))</f>
        <v/>
      </c>
      <c r="G120" s="35" t="str">
        <f aca="false">IF(B120="","",ROUND(B120/(1-IMPOSTOS-C120-TAXA_10X),2))</f>
        <v/>
      </c>
    </row>
    <row r="121" customFormat="false" ht="15.75" hidden="false" customHeight="true" outlineLevel="0" collapsed="false">
      <c r="A121" s="34" t="n">
        <f aca="false">PRODUTOS!A121</f>
        <v>0</v>
      </c>
      <c r="B121" s="35" t="str">
        <f aca="false">IF(PRODUTOS!E121="","",PRODUTOS!E121*(1-ICMS_CREDITO))</f>
        <v/>
      </c>
      <c r="C121" s="34" t="n">
        <f aca="false">IF(PRODUTOS!F121="",MARGEM_PADRAO,PRODUTOS!F121)</f>
        <v>0.3</v>
      </c>
      <c r="D121" s="35" t="str">
        <f aca="false">IF(B121="","",ROUND(B121/(1-IMPOSTOS-C121),2))</f>
        <v/>
      </c>
      <c r="E121" s="35" t="str">
        <f aca="false">IF(B121="","",ROUND(B121/(1-IMPOSTOS-C121-TAXA_3X),2))</f>
        <v/>
      </c>
      <c r="F121" s="35" t="str">
        <f aca="false">IF(B121="","",ROUND(B121/(1-IMPOSTOS-C121-TAXA_6X),2))</f>
        <v/>
      </c>
      <c r="G121" s="35" t="str">
        <f aca="false">IF(B121="","",ROUND(B121/(1-IMPOSTOS-C121-TAXA_10X),2))</f>
        <v/>
      </c>
    </row>
    <row r="122" customFormat="false" ht="15.75" hidden="false" customHeight="true" outlineLevel="0" collapsed="false">
      <c r="A122" s="34" t="n">
        <f aca="false">PRODUTOS!A122</f>
        <v>0</v>
      </c>
      <c r="B122" s="35" t="str">
        <f aca="false">IF(PRODUTOS!E122="","",PRODUTOS!E122*(1-ICMS_CREDITO))</f>
        <v/>
      </c>
      <c r="C122" s="34" t="n">
        <f aca="false">IF(PRODUTOS!F122="",MARGEM_PADRAO,PRODUTOS!F122)</f>
        <v>0.3</v>
      </c>
      <c r="D122" s="35" t="str">
        <f aca="false">IF(B122="","",ROUND(B122/(1-IMPOSTOS-C122),2))</f>
        <v/>
      </c>
      <c r="E122" s="35" t="str">
        <f aca="false">IF(B122="","",ROUND(B122/(1-IMPOSTOS-C122-TAXA_3X),2))</f>
        <v/>
      </c>
      <c r="F122" s="35" t="str">
        <f aca="false">IF(B122="","",ROUND(B122/(1-IMPOSTOS-C122-TAXA_6X),2))</f>
        <v/>
      </c>
      <c r="G122" s="35" t="str">
        <f aca="false">IF(B122="","",ROUND(B122/(1-IMPOSTOS-C122-TAXA_10X),2))</f>
        <v/>
      </c>
    </row>
    <row r="123" customFormat="false" ht="15.75" hidden="false" customHeight="true" outlineLevel="0" collapsed="false">
      <c r="A123" s="34" t="n">
        <f aca="false">PRODUTOS!A123</f>
        <v>0</v>
      </c>
      <c r="B123" s="35" t="str">
        <f aca="false">IF(PRODUTOS!E123="","",PRODUTOS!E123*(1-ICMS_CREDITO))</f>
        <v/>
      </c>
      <c r="C123" s="34" t="n">
        <f aca="false">IF(PRODUTOS!F123="",MARGEM_PADRAO,PRODUTOS!F123)</f>
        <v>0.3</v>
      </c>
      <c r="D123" s="35" t="str">
        <f aca="false">IF(B123="","",ROUND(B123/(1-IMPOSTOS-C123),2))</f>
        <v/>
      </c>
      <c r="E123" s="35" t="str">
        <f aca="false">IF(B123="","",ROUND(B123/(1-IMPOSTOS-C123-TAXA_3X),2))</f>
        <v/>
      </c>
      <c r="F123" s="35" t="str">
        <f aca="false">IF(B123="","",ROUND(B123/(1-IMPOSTOS-C123-TAXA_6X),2))</f>
        <v/>
      </c>
      <c r="G123" s="35" t="str">
        <f aca="false">IF(B123="","",ROUND(B123/(1-IMPOSTOS-C123-TAXA_10X),2))</f>
        <v/>
      </c>
    </row>
    <row r="124" customFormat="false" ht="15.75" hidden="false" customHeight="true" outlineLevel="0" collapsed="false">
      <c r="A124" s="34" t="n">
        <f aca="false">PRODUTOS!A124</f>
        <v>0</v>
      </c>
      <c r="B124" s="35" t="str">
        <f aca="false">IF(PRODUTOS!E124="","",PRODUTOS!E124*(1-ICMS_CREDITO))</f>
        <v/>
      </c>
      <c r="C124" s="34" t="n">
        <f aca="false">IF(PRODUTOS!F124="",MARGEM_PADRAO,PRODUTOS!F124)</f>
        <v>0.3</v>
      </c>
      <c r="D124" s="35" t="str">
        <f aca="false">IF(B124="","",ROUND(B124/(1-IMPOSTOS-C124),2))</f>
        <v/>
      </c>
      <c r="E124" s="35" t="str">
        <f aca="false">IF(B124="","",ROUND(B124/(1-IMPOSTOS-C124-TAXA_3X),2))</f>
        <v/>
      </c>
      <c r="F124" s="35" t="str">
        <f aca="false">IF(B124="","",ROUND(B124/(1-IMPOSTOS-C124-TAXA_6X),2))</f>
        <v/>
      </c>
      <c r="G124" s="35" t="str">
        <f aca="false">IF(B124="","",ROUND(B124/(1-IMPOSTOS-C124-TAXA_10X),2))</f>
        <v/>
      </c>
    </row>
    <row r="125" customFormat="false" ht="15.75" hidden="false" customHeight="true" outlineLevel="0" collapsed="false">
      <c r="A125" s="34" t="n">
        <f aca="false">PRODUTOS!A125</f>
        <v>0</v>
      </c>
      <c r="B125" s="35" t="str">
        <f aca="false">IF(PRODUTOS!E125="","",PRODUTOS!E125*(1-ICMS_CREDITO))</f>
        <v/>
      </c>
      <c r="C125" s="34" t="n">
        <f aca="false">IF(PRODUTOS!F125="",MARGEM_PADRAO,PRODUTOS!F125)</f>
        <v>0.3</v>
      </c>
      <c r="D125" s="35" t="str">
        <f aca="false">IF(B125="","",ROUND(B125/(1-IMPOSTOS-C125),2))</f>
        <v/>
      </c>
      <c r="E125" s="35" t="str">
        <f aca="false">IF(B125="","",ROUND(B125/(1-IMPOSTOS-C125-TAXA_3X),2))</f>
        <v/>
      </c>
      <c r="F125" s="35" t="str">
        <f aca="false">IF(B125="","",ROUND(B125/(1-IMPOSTOS-C125-TAXA_6X),2))</f>
        <v/>
      </c>
      <c r="G125" s="35" t="str">
        <f aca="false">IF(B125="","",ROUND(B125/(1-IMPOSTOS-C125-TAXA_10X),2))</f>
        <v/>
      </c>
    </row>
    <row r="126" customFormat="false" ht="15.75" hidden="false" customHeight="true" outlineLevel="0" collapsed="false">
      <c r="A126" s="34" t="n">
        <f aca="false">PRODUTOS!A126</f>
        <v>0</v>
      </c>
      <c r="B126" s="35" t="str">
        <f aca="false">IF(PRODUTOS!E126="","",PRODUTOS!E126*(1-ICMS_CREDITO))</f>
        <v/>
      </c>
      <c r="C126" s="34" t="n">
        <f aca="false">IF(PRODUTOS!F126="",MARGEM_PADRAO,PRODUTOS!F126)</f>
        <v>0.3</v>
      </c>
      <c r="D126" s="35" t="str">
        <f aca="false">IF(B126="","",ROUND(B126/(1-IMPOSTOS-C126),2))</f>
        <v/>
      </c>
      <c r="E126" s="35" t="str">
        <f aca="false">IF(B126="","",ROUND(B126/(1-IMPOSTOS-C126-TAXA_3X),2))</f>
        <v/>
      </c>
      <c r="F126" s="35" t="str">
        <f aca="false">IF(B126="","",ROUND(B126/(1-IMPOSTOS-C126-TAXA_6X),2))</f>
        <v/>
      </c>
      <c r="G126" s="35" t="str">
        <f aca="false">IF(B126="","",ROUND(B126/(1-IMPOSTOS-C126-TAXA_10X),2))</f>
        <v/>
      </c>
    </row>
    <row r="127" customFormat="false" ht="15.75" hidden="false" customHeight="true" outlineLevel="0" collapsed="false">
      <c r="A127" s="34" t="n">
        <f aca="false">PRODUTOS!A127</f>
        <v>0</v>
      </c>
      <c r="B127" s="35" t="str">
        <f aca="false">IF(PRODUTOS!E127="","",PRODUTOS!E127*(1-ICMS_CREDITO))</f>
        <v/>
      </c>
      <c r="C127" s="34" t="n">
        <f aca="false">IF(PRODUTOS!F127="",MARGEM_PADRAO,PRODUTOS!F127)</f>
        <v>0.3</v>
      </c>
      <c r="D127" s="35" t="str">
        <f aca="false">IF(B127="","",ROUND(B127/(1-IMPOSTOS-C127),2))</f>
        <v/>
      </c>
      <c r="E127" s="35" t="str">
        <f aca="false">IF(B127="","",ROUND(B127/(1-IMPOSTOS-C127-TAXA_3X),2))</f>
        <v/>
      </c>
      <c r="F127" s="35" t="str">
        <f aca="false">IF(B127="","",ROUND(B127/(1-IMPOSTOS-C127-TAXA_6X),2))</f>
        <v/>
      </c>
      <c r="G127" s="35" t="str">
        <f aca="false">IF(B127="","",ROUND(B127/(1-IMPOSTOS-C127-TAXA_10X),2))</f>
        <v/>
      </c>
    </row>
    <row r="128" customFormat="false" ht="15.75" hidden="false" customHeight="true" outlineLevel="0" collapsed="false">
      <c r="A128" s="34" t="n">
        <f aca="false">PRODUTOS!A128</f>
        <v>0</v>
      </c>
      <c r="B128" s="35" t="str">
        <f aca="false">IF(PRODUTOS!E128="","",PRODUTOS!E128*(1-ICMS_CREDITO))</f>
        <v/>
      </c>
      <c r="C128" s="34" t="n">
        <f aca="false">IF(PRODUTOS!F128="",MARGEM_PADRAO,PRODUTOS!F128)</f>
        <v>0.3</v>
      </c>
      <c r="D128" s="35" t="str">
        <f aca="false">IF(B128="","",ROUND(B128/(1-IMPOSTOS-C128),2))</f>
        <v/>
      </c>
      <c r="E128" s="35" t="str">
        <f aca="false">IF(B128="","",ROUND(B128/(1-IMPOSTOS-C128-TAXA_3X),2))</f>
        <v/>
      </c>
      <c r="F128" s="35" t="str">
        <f aca="false">IF(B128="","",ROUND(B128/(1-IMPOSTOS-C128-TAXA_6X),2))</f>
        <v/>
      </c>
      <c r="G128" s="35" t="str">
        <f aca="false">IF(B128="","",ROUND(B128/(1-IMPOSTOS-C128-TAXA_10X),2))</f>
        <v/>
      </c>
    </row>
    <row r="129" customFormat="false" ht="15.75" hidden="false" customHeight="true" outlineLevel="0" collapsed="false">
      <c r="A129" s="34" t="n">
        <f aca="false">PRODUTOS!A129</f>
        <v>0</v>
      </c>
      <c r="B129" s="35" t="str">
        <f aca="false">IF(PRODUTOS!E129="","",PRODUTOS!E129*(1-ICMS_CREDITO))</f>
        <v/>
      </c>
      <c r="C129" s="34" t="n">
        <f aca="false">IF(PRODUTOS!F129="",MARGEM_PADRAO,PRODUTOS!F129)</f>
        <v>0.3</v>
      </c>
      <c r="D129" s="35" t="str">
        <f aca="false">IF(B129="","",ROUND(B129/(1-IMPOSTOS-C129),2))</f>
        <v/>
      </c>
      <c r="E129" s="35" t="str">
        <f aca="false">IF(B129="","",ROUND(B129/(1-IMPOSTOS-C129-TAXA_3X),2))</f>
        <v/>
      </c>
      <c r="F129" s="35" t="str">
        <f aca="false">IF(B129="","",ROUND(B129/(1-IMPOSTOS-C129-TAXA_6X),2))</f>
        <v/>
      </c>
      <c r="G129" s="35" t="str">
        <f aca="false">IF(B129="","",ROUND(B129/(1-IMPOSTOS-C129-TAXA_10X),2))</f>
        <v/>
      </c>
    </row>
    <row r="130" customFormat="false" ht="15.75" hidden="false" customHeight="true" outlineLevel="0" collapsed="false">
      <c r="A130" s="34" t="n">
        <f aca="false">PRODUTOS!A130</f>
        <v>0</v>
      </c>
      <c r="B130" s="35" t="str">
        <f aca="false">IF(PRODUTOS!E130="","",PRODUTOS!E130*(1-ICMS_CREDITO))</f>
        <v/>
      </c>
      <c r="C130" s="34" t="n">
        <f aca="false">IF(PRODUTOS!F130="",MARGEM_PADRAO,PRODUTOS!F130)</f>
        <v>0.3</v>
      </c>
      <c r="D130" s="35" t="str">
        <f aca="false">IF(B130="","",ROUND(B130/(1-IMPOSTOS-C130),2))</f>
        <v/>
      </c>
      <c r="E130" s="35" t="str">
        <f aca="false">IF(B130="","",ROUND(B130/(1-IMPOSTOS-C130-TAXA_3X),2))</f>
        <v/>
      </c>
      <c r="F130" s="35" t="str">
        <f aca="false">IF(B130="","",ROUND(B130/(1-IMPOSTOS-C130-TAXA_6X),2))</f>
        <v/>
      </c>
      <c r="G130" s="35" t="str">
        <f aca="false">IF(B130="","",ROUND(B130/(1-IMPOSTOS-C130-TAXA_10X),2))</f>
        <v/>
      </c>
    </row>
    <row r="131" customFormat="false" ht="15.75" hidden="false" customHeight="true" outlineLevel="0" collapsed="false">
      <c r="A131" s="34" t="n">
        <f aca="false">PRODUTOS!A131</f>
        <v>0</v>
      </c>
      <c r="B131" s="35" t="str">
        <f aca="false">IF(PRODUTOS!E131="","",PRODUTOS!E131*(1-ICMS_CREDITO))</f>
        <v/>
      </c>
      <c r="C131" s="34" t="n">
        <f aca="false">IF(PRODUTOS!F131="",MARGEM_PADRAO,PRODUTOS!F131)</f>
        <v>0.3</v>
      </c>
      <c r="D131" s="35" t="str">
        <f aca="false">IF(B131="","",ROUND(B131/(1-IMPOSTOS-C131),2))</f>
        <v/>
      </c>
      <c r="E131" s="35" t="str">
        <f aca="false">IF(B131="","",ROUND(B131/(1-IMPOSTOS-C131-TAXA_3X),2))</f>
        <v/>
      </c>
      <c r="F131" s="35" t="str">
        <f aca="false">IF(B131="","",ROUND(B131/(1-IMPOSTOS-C131-TAXA_6X),2))</f>
        <v/>
      </c>
      <c r="G131" s="35" t="str">
        <f aca="false">IF(B131="","",ROUND(B131/(1-IMPOSTOS-C131-TAXA_10X),2))</f>
        <v/>
      </c>
    </row>
    <row r="132" customFormat="false" ht="15.75" hidden="false" customHeight="true" outlineLevel="0" collapsed="false">
      <c r="A132" s="34" t="n">
        <f aca="false">PRODUTOS!A132</f>
        <v>0</v>
      </c>
      <c r="B132" s="35" t="str">
        <f aca="false">IF(PRODUTOS!E132="","",PRODUTOS!E132*(1-ICMS_CREDITO))</f>
        <v/>
      </c>
      <c r="C132" s="34" t="n">
        <f aca="false">IF(PRODUTOS!F132="",MARGEM_PADRAO,PRODUTOS!F132)</f>
        <v>0.3</v>
      </c>
      <c r="D132" s="35" t="str">
        <f aca="false">IF(B132="","",ROUND(B132/(1-IMPOSTOS-C132),2))</f>
        <v/>
      </c>
      <c r="E132" s="35" t="str">
        <f aca="false">IF(B132="","",ROUND(B132/(1-IMPOSTOS-C132-TAXA_3X),2))</f>
        <v/>
      </c>
      <c r="F132" s="35" t="str">
        <f aca="false">IF(B132="","",ROUND(B132/(1-IMPOSTOS-C132-TAXA_6X),2))</f>
        <v/>
      </c>
      <c r="G132" s="35" t="str">
        <f aca="false">IF(B132="","",ROUND(B132/(1-IMPOSTOS-C132-TAXA_10X),2))</f>
        <v/>
      </c>
    </row>
    <row r="133" customFormat="false" ht="15.75" hidden="false" customHeight="true" outlineLevel="0" collapsed="false">
      <c r="A133" s="34" t="n">
        <f aca="false">PRODUTOS!A133</f>
        <v>0</v>
      </c>
      <c r="B133" s="35" t="str">
        <f aca="false">IF(PRODUTOS!E133="","",PRODUTOS!E133*(1-ICMS_CREDITO))</f>
        <v/>
      </c>
      <c r="C133" s="34" t="n">
        <f aca="false">IF(PRODUTOS!F133="",MARGEM_PADRAO,PRODUTOS!F133)</f>
        <v>0.3</v>
      </c>
      <c r="D133" s="35" t="str">
        <f aca="false">IF(B133="","",ROUND(B133/(1-IMPOSTOS-C133),2))</f>
        <v/>
      </c>
      <c r="E133" s="35" t="str">
        <f aca="false">IF(B133="","",ROUND(B133/(1-IMPOSTOS-C133-TAXA_3X),2))</f>
        <v/>
      </c>
      <c r="F133" s="35" t="str">
        <f aca="false">IF(B133="","",ROUND(B133/(1-IMPOSTOS-C133-TAXA_6X),2))</f>
        <v/>
      </c>
      <c r="G133" s="35" t="str">
        <f aca="false">IF(B133="","",ROUND(B133/(1-IMPOSTOS-C133-TAXA_10X),2))</f>
        <v/>
      </c>
    </row>
    <row r="134" customFormat="false" ht="15.75" hidden="false" customHeight="true" outlineLevel="0" collapsed="false">
      <c r="A134" s="34" t="n">
        <f aca="false">PRODUTOS!A134</f>
        <v>0</v>
      </c>
      <c r="B134" s="35" t="str">
        <f aca="false">IF(PRODUTOS!E134="","",PRODUTOS!E134*(1-ICMS_CREDITO))</f>
        <v/>
      </c>
      <c r="C134" s="34" t="n">
        <f aca="false">IF(PRODUTOS!F134="",MARGEM_PADRAO,PRODUTOS!F134)</f>
        <v>0.3</v>
      </c>
      <c r="D134" s="35" t="str">
        <f aca="false">IF(B134="","",ROUND(B134/(1-IMPOSTOS-C134),2))</f>
        <v/>
      </c>
      <c r="E134" s="35" t="str">
        <f aca="false">IF(B134="","",ROUND(B134/(1-IMPOSTOS-C134-TAXA_3X),2))</f>
        <v/>
      </c>
      <c r="F134" s="35" t="str">
        <f aca="false">IF(B134="","",ROUND(B134/(1-IMPOSTOS-C134-TAXA_6X),2))</f>
        <v/>
      </c>
      <c r="G134" s="35" t="str">
        <f aca="false">IF(B134="","",ROUND(B134/(1-IMPOSTOS-C134-TAXA_10X),2))</f>
        <v/>
      </c>
    </row>
    <row r="135" customFormat="false" ht="15.75" hidden="false" customHeight="true" outlineLevel="0" collapsed="false">
      <c r="A135" s="34" t="n">
        <f aca="false">PRODUTOS!A135</f>
        <v>0</v>
      </c>
      <c r="B135" s="35" t="str">
        <f aca="false">IF(PRODUTOS!E135="","",PRODUTOS!E135*(1-ICMS_CREDITO))</f>
        <v/>
      </c>
      <c r="C135" s="34" t="n">
        <f aca="false">IF(PRODUTOS!F135="",MARGEM_PADRAO,PRODUTOS!F135)</f>
        <v>0.3</v>
      </c>
      <c r="D135" s="35" t="str">
        <f aca="false">IF(B135="","",ROUND(B135/(1-IMPOSTOS-C135),2))</f>
        <v/>
      </c>
      <c r="E135" s="35" t="str">
        <f aca="false">IF(B135="","",ROUND(B135/(1-IMPOSTOS-C135-TAXA_3X),2))</f>
        <v/>
      </c>
      <c r="F135" s="35" t="str">
        <f aca="false">IF(B135="","",ROUND(B135/(1-IMPOSTOS-C135-TAXA_6X),2))</f>
        <v/>
      </c>
      <c r="G135" s="35" t="str">
        <f aca="false">IF(B135="","",ROUND(B135/(1-IMPOSTOS-C135-TAXA_10X),2))</f>
        <v/>
      </c>
    </row>
    <row r="136" customFormat="false" ht="15.75" hidden="false" customHeight="true" outlineLevel="0" collapsed="false">
      <c r="A136" s="34" t="n">
        <f aca="false">PRODUTOS!A136</f>
        <v>0</v>
      </c>
      <c r="B136" s="35" t="str">
        <f aca="false">IF(PRODUTOS!E136="","",PRODUTOS!E136*(1-ICMS_CREDITO))</f>
        <v/>
      </c>
      <c r="C136" s="34" t="n">
        <f aca="false">IF(PRODUTOS!F136="",MARGEM_PADRAO,PRODUTOS!F136)</f>
        <v>0.3</v>
      </c>
      <c r="D136" s="35" t="str">
        <f aca="false">IF(B136="","",ROUND(B136/(1-IMPOSTOS-C136),2))</f>
        <v/>
      </c>
      <c r="E136" s="35" t="str">
        <f aca="false">IF(B136="","",ROUND(B136/(1-IMPOSTOS-C136-TAXA_3X),2))</f>
        <v/>
      </c>
      <c r="F136" s="35" t="str">
        <f aca="false">IF(B136="","",ROUND(B136/(1-IMPOSTOS-C136-TAXA_6X),2))</f>
        <v/>
      </c>
      <c r="G136" s="35" t="str">
        <f aca="false">IF(B136="","",ROUND(B136/(1-IMPOSTOS-C136-TAXA_10X),2))</f>
        <v/>
      </c>
    </row>
    <row r="137" customFormat="false" ht="15.75" hidden="false" customHeight="true" outlineLevel="0" collapsed="false">
      <c r="A137" s="34" t="n">
        <f aca="false">PRODUTOS!A137</f>
        <v>0</v>
      </c>
      <c r="B137" s="35" t="str">
        <f aca="false">IF(PRODUTOS!E137="","",PRODUTOS!E137*(1-ICMS_CREDITO))</f>
        <v/>
      </c>
      <c r="C137" s="34" t="n">
        <f aca="false">IF(PRODUTOS!F137="",MARGEM_PADRAO,PRODUTOS!F137)</f>
        <v>0.3</v>
      </c>
      <c r="D137" s="35" t="str">
        <f aca="false">IF(B137="","",ROUND(B137/(1-IMPOSTOS-C137),2))</f>
        <v/>
      </c>
      <c r="E137" s="35" t="str">
        <f aca="false">IF(B137="","",ROUND(B137/(1-IMPOSTOS-C137-TAXA_3X),2))</f>
        <v/>
      </c>
      <c r="F137" s="35" t="str">
        <f aca="false">IF(B137="","",ROUND(B137/(1-IMPOSTOS-C137-TAXA_6X),2))</f>
        <v/>
      </c>
      <c r="G137" s="35" t="str">
        <f aca="false">IF(B137="","",ROUND(B137/(1-IMPOSTOS-C137-TAXA_10X),2))</f>
        <v/>
      </c>
    </row>
    <row r="138" customFormat="false" ht="15.75" hidden="false" customHeight="true" outlineLevel="0" collapsed="false">
      <c r="A138" s="34" t="n">
        <f aca="false">PRODUTOS!A138</f>
        <v>0</v>
      </c>
      <c r="B138" s="35" t="str">
        <f aca="false">IF(PRODUTOS!E138="","",PRODUTOS!E138*(1-ICMS_CREDITO))</f>
        <v/>
      </c>
      <c r="C138" s="34" t="n">
        <f aca="false">IF(PRODUTOS!F138="",MARGEM_PADRAO,PRODUTOS!F138)</f>
        <v>0.3</v>
      </c>
      <c r="D138" s="35" t="str">
        <f aca="false">IF(B138="","",ROUND(B138/(1-IMPOSTOS-C138),2))</f>
        <v/>
      </c>
      <c r="E138" s="35" t="str">
        <f aca="false">IF(B138="","",ROUND(B138/(1-IMPOSTOS-C138-TAXA_3X),2))</f>
        <v/>
      </c>
      <c r="F138" s="35" t="str">
        <f aca="false">IF(B138="","",ROUND(B138/(1-IMPOSTOS-C138-TAXA_6X),2))</f>
        <v/>
      </c>
      <c r="G138" s="35" t="str">
        <f aca="false">IF(B138="","",ROUND(B138/(1-IMPOSTOS-C138-TAXA_10X),2))</f>
        <v/>
      </c>
    </row>
    <row r="139" customFormat="false" ht="15.75" hidden="false" customHeight="true" outlineLevel="0" collapsed="false">
      <c r="A139" s="34" t="n">
        <f aca="false">PRODUTOS!A139</f>
        <v>0</v>
      </c>
      <c r="B139" s="35" t="str">
        <f aca="false">IF(PRODUTOS!E139="","",PRODUTOS!E139*(1-ICMS_CREDITO))</f>
        <v/>
      </c>
      <c r="C139" s="34" t="n">
        <f aca="false">IF(PRODUTOS!F139="",MARGEM_PADRAO,PRODUTOS!F139)</f>
        <v>0.3</v>
      </c>
      <c r="D139" s="35" t="str">
        <f aca="false">IF(B139="","",ROUND(B139/(1-IMPOSTOS-C139),2))</f>
        <v/>
      </c>
      <c r="E139" s="35" t="str">
        <f aca="false">IF(B139="","",ROUND(B139/(1-IMPOSTOS-C139-TAXA_3X),2))</f>
        <v/>
      </c>
      <c r="F139" s="35" t="str">
        <f aca="false">IF(B139="","",ROUND(B139/(1-IMPOSTOS-C139-TAXA_6X),2))</f>
        <v/>
      </c>
      <c r="G139" s="35" t="str">
        <f aca="false">IF(B139="","",ROUND(B139/(1-IMPOSTOS-C139-TAXA_10X),2))</f>
        <v/>
      </c>
    </row>
    <row r="140" customFormat="false" ht="15.75" hidden="false" customHeight="true" outlineLevel="0" collapsed="false">
      <c r="A140" s="34" t="n">
        <f aca="false">PRODUTOS!A140</f>
        <v>0</v>
      </c>
      <c r="B140" s="35" t="str">
        <f aca="false">IF(PRODUTOS!E140="","",PRODUTOS!E140*(1-ICMS_CREDITO))</f>
        <v/>
      </c>
      <c r="C140" s="34" t="n">
        <f aca="false">IF(PRODUTOS!F140="",MARGEM_PADRAO,PRODUTOS!F140)</f>
        <v>0.3</v>
      </c>
      <c r="D140" s="35" t="str">
        <f aca="false">IF(B140="","",ROUND(B140/(1-IMPOSTOS-C140),2))</f>
        <v/>
      </c>
      <c r="E140" s="35" t="str">
        <f aca="false">IF(B140="","",ROUND(B140/(1-IMPOSTOS-C140-TAXA_3X),2))</f>
        <v/>
      </c>
      <c r="F140" s="35" t="str">
        <f aca="false">IF(B140="","",ROUND(B140/(1-IMPOSTOS-C140-TAXA_6X),2))</f>
        <v/>
      </c>
      <c r="G140" s="35" t="str">
        <f aca="false">IF(B140="","",ROUND(B140/(1-IMPOSTOS-C140-TAXA_10X),2))</f>
        <v/>
      </c>
    </row>
    <row r="141" customFormat="false" ht="15.75" hidden="false" customHeight="true" outlineLevel="0" collapsed="false">
      <c r="A141" s="34" t="n">
        <f aca="false">PRODUTOS!A141</f>
        <v>0</v>
      </c>
      <c r="B141" s="35" t="str">
        <f aca="false">IF(PRODUTOS!E141="","",PRODUTOS!E141*(1-ICMS_CREDITO))</f>
        <v/>
      </c>
      <c r="C141" s="34" t="n">
        <f aca="false">IF(PRODUTOS!F141="",MARGEM_PADRAO,PRODUTOS!F141)</f>
        <v>0.3</v>
      </c>
      <c r="D141" s="35" t="str">
        <f aca="false">IF(B141="","",ROUND(B141/(1-IMPOSTOS-C141),2))</f>
        <v/>
      </c>
      <c r="E141" s="35" t="str">
        <f aca="false">IF(B141="","",ROUND(B141/(1-IMPOSTOS-C141-TAXA_3X),2))</f>
        <v/>
      </c>
      <c r="F141" s="35" t="str">
        <f aca="false">IF(B141="","",ROUND(B141/(1-IMPOSTOS-C141-TAXA_6X),2))</f>
        <v/>
      </c>
      <c r="G141" s="35" t="str">
        <f aca="false">IF(B141="","",ROUND(B141/(1-IMPOSTOS-C141-TAXA_10X),2))</f>
        <v/>
      </c>
    </row>
    <row r="142" customFormat="false" ht="15.75" hidden="false" customHeight="true" outlineLevel="0" collapsed="false">
      <c r="A142" s="34" t="n">
        <f aca="false">PRODUTOS!A142</f>
        <v>0</v>
      </c>
      <c r="B142" s="35" t="str">
        <f aca="false">IF(PRODUTOS!E142="","",PRODUTOS!E142*(1-ICMS_CREDITO))</f>
        <v/>
      </c>
      <c r="C142" s="34" t="n">
        <f aca="false">IF(PRODUTOS!F142="",MARGEM_PADRAO,PRODUTOS!F142)</f>
        <v>0.3</v>
      </c>
      <c r="D142" s="35" t="str">
        <f aca="false">IF(B142="","",ROUND(B142/(1-IMPOSTOS-C142),2))</f>
        <v/>
      </c>
      <c r="E142" s="35" t="str">
        <f aca="false">IF(B142="","",ROUND(B142/(1-IMPOSTOS-C142-TAXA_3X),2))</f>
        <v/>
      </c>
      <c r="F142" s="35" t="str">
        <f aca="false">IF(B142="","",ROUND(B142/(1-IMPOSTOS-C142-TAXA_6X),2))</f>
        <v/>
      </c>
      <c r="G142" s="35" t="str">
        <f aca="false">IF(B142="","",ROUND(B142/(1-IMPOSTOS-C142-TAXA_10X),2))</f>
        <v/>
      </c>
    </row>
    <row r="143" customFormat="false" ht="15.75" hidden="false" customHeight="true" outlineLevel="0" collapsed="false">
      <c r="A143" s="34" t="n">
        <f aca="false">PRODUTOS!A143</f>
        <v>0</v>
      </c>
      <c r="B143" s="35" t="str">
        <f aca="false">IF(PRODUTOS!E143="","",PRODUTOS!E143*(1-ICMS_CREDITO))</f>
        <v/>
      </c>
      <c r="C143" s="34" t="n">
        <f aca="false">IF(PRODUTOS!F143="",MARGEM_PADRAO,PRODUTOS!F143)</f>
        <v>0.3</v>
      </c>
      <c r="D143" s="35" t="str">
        <f aca="false">IF(B143="","",ROUND(B143/(1-IMPOSTOS-C143),2))</f>
        <v/>
      </c>
      <c r="E143" s="35" t="str">
        <f aca="false">IF(B143="","",ROUND(B143/(1-IMPOSTOS-C143-TAXA_3X),2))</f>
        <v/>
      </c>
      <c r="F143" s="35" t="str">
        <f aca="false">IF(B143="","",ROUND(B143/(1-IMPOSTOS-C143-TAXA_6X),2))</f>
        <v/>
      </c>
      <c r="G143" s="35" t="str">
        <f aca="false">IF(B143="","",ROUND(B143/(1-IMPOSTOS-C143-TAXA_10X),2))</f>
        <v/>
      </c>
    </row>
    <row r="144" customFormat="false" ht="15.75" hidden="false" customHeight="true" outlineLevel="0" collapsed="false">
      <c r="A144" s="34" t="n">
        <f aca="false">PRODUTOS!A144</f>
        <v>0</v>
      </c>
      <c r="B144" s="35" t="str">
        <f aca="false">IF(PRODUTOS!E144="","",PRODUTOS!E144*(1-ICMS_CREDITO))</f>
        <v/>
      </c>
      <c r="C144" s="34" t="n">
        <f aca="false">IF(PRODUTOS!F144="",MARGEM_PADRAO,PRODUTOS!F144)</f>
        <v>0.3</v>
      </c>
      <c r="D144" s="35" t="str">
        <f aca="false">IF(B144="","",ROUND(B144/(1-IMPOSTOS-C144),2))</f>
        <v/>
      </c>
      <c r="E144" s="35" t="str">
        <f aca="false">IF(B144="","",ROUND(B144/(1-IMPOSTOS-C144-TAXA_3X),2))</f>
        <v/>
      </c>
      <c r="F144" s="35" t="str">
        <f aca="false">IF(B144="","",ROUND(B144/(1-IMPOSTOS-C144-TAXA_6X),2))</f>
        <v/>
      </c>
      <c r="G144" s="35" t="str">
        <f aca="false">IF(B144="","",ROUND(B144/(1-IMPOSTOS-C144-TAXA_10X),2))</f>
        <v/>
      </c>
    </row>
    <row r="145" customFormat="false" ht="15.75" hidden="false" customHeight="true" outlineLevel="0" collapsed="false">
      <c r="A145" s="34" t="n">
        <f aca="false">PRODUTOS!A145</f>
        <v>0</v>
      </c>
      <c r="B145" s="35" t="str">
        <f aca="false">IF(PRODUTOS!E145="","",PRODUTOS!E145*(1-ICMS_CREDITO))</f>
        <v/>
      </c>
      <c r="C145" s="34" t="n">
        <f aca="false">IF(PRODUTOS!F145="",MARGEM_PADRAO,PRODUTOS!F145)</f>
        <v>0.3</v>
      </c>
      <c r="D145" s="35" t="str">
        <f aca="false">IF(B145="","",ROUND(B145/(1-IMPOSTOS-C145),2))</f>
        <v/>
      </c>
      <c r="E145" s="35" t="str">
        <f aca="false">IF(B145="","",ROUND(B145/(1-IMPOSTOS-C145-TAXA_3X),2))</f>
        <v/>
      </c>
      <c r="F145" s="35" t="str">
        <f aca="false">IF(B145="","",ROUND(B145/(1-IMPOSTOS-C145-TAXA_6X),2))</f>
        <v/>
      </c>
      <c r="G145" s="35" t="str">
        <f aca="false">IF(B145="","",ROUND(B145/(1-IMPOSTOS-C145-TAXA_10X),2))</f>
        <v/>
      </c>
    </row>
    <row r="146" customFormat="false" ht="15.75" hidden="false" customHeight="true" outlineLevel="0" collapsed="false">
      <c r="A146" s="34" t="n">
        <f aca="false">PRODUTOS!A146</f>
        <v>0</v>
      </c>
      <c r="B146" s="35" t="str">
        <f aca="false">IF(PRODUTOS!E146="","",PRODUTOS!E146*(1-ICMS_CREDITO))</f>
        <v/>
      </c>
      <c r="C146" s="34" t="n">
        <f aca="false">IF(PRODUTOS!F146="",MARGEM_PADRAO,PRODUTOS!F146)</f>
        <v>0.3</v>
      </c>
      <c r="D146" s="35" t="str">
        <f aca="false">IF(B146="","",ROUND(B146/(1-IMPOSTOS-C146),2))</f>
        <v/>
      </c>
      <c r="E146" s="35" t="str">
        <f aca="false">IF(B146="","",ROUND(B146/(1-IMPOSTOS-C146-TAXA_3X),2))</f>
        <v/>
      </c>
      <c r="F146" s="35" t="str">
        <f aca="false">IF(B146="","",ROUND(B146/(1-IMPOSTOS-C146-TAXA_6X),2))</f>
        <v/>
      </c>
      <c r="G146" s="35" t="str">
        <f aca="false">IF(B146="","",ROUND(B146/(1-IMPOSTOS-C146-TAXA_10X),2))</f>
        <v/>
      </c>
    </row>
    <row r="147" customFormat="false" ht="15.75" hidden="false" customHeight="true" outlineLevel="0" collapsed="false">
      <c r="A147" s="34" t="n">
        <f aca="false">PRODUTOS!A147</f>
        <v>0</v>
      </c>
      <c r="B147" s="35" t="str">
        <f aca="false">IF(PRODUTOS!E147="","",PRODUTOS!E147*(1-ICMS_CREDITO))</f>
        <v/>
      </c>
      <c r="C147" s="34" t="n">
        <f aca="false">IF(PRODUTOS!F147="",MARGEM_PADRAO,PRODUTOS!F147)</f>
        <v>0.3</v>
      </c>
      <c r="D147" s="35" t="str">
        <f aca="false">IF(B147="","",ROUND(B147/(1-IMPOSTOS-C147),2))</f>
        <v/>
      </c>
      <c r="E147" s="35" t="str">
        <f aca="false">IF(B147="","",ROUND(B147/(1-IMPOSTOS-C147-TAXA_3X),2))</f>
        <v/>
      </c>
      <c r="F147" s="35" t="str">
        <f aca="false">IF(B147="","",ROUND(B147/(1-IMPOSTOS-C147-TAXA_6X),2))</f>
        <v/>
      </c>
      <c r="G147" s="35" t="str">
        <f aca="false">IF(B147="","",ROUND(B147/(1-IMPOSTOS-C147-TAXA_10X),2))</f>
        <v/>
      </c>
    </row>
    <row r="148" customFormat="false" ht="15.75" hidden="false" customHeight="true" outlineLevel="0" collapsed="false">
      <c r="A148" s="34" t="n">
        <f aca="false">PRODUTOS!A148</f>
        <v>0</v>
      </c>
      <c r="B148" s="35" t="str">
        <f aca="false">IF(PRODUTOS!E148="","",PRODUTOS!E148*(1-ICMS_CREDITO))</f>
        <v/>
      </c>
      <c r="C148" s="34" t="n">
        <f aca="false">IF(PRODUTOS!F148="",MARGEM_PADRAO,PRODUTOS!F148)</f>
        <v>0.3</v>
      </c>
      <c r="D148" s="35" t="str">
        <f aca="false">IF(B148="","",ROUND(B148/(1-IMPOSTOS-C148),2))</f>
        <v/>
      </c>
      <c r="E148" s="35" t="str">
        <f aca="false">IF(B148="","",ROUND(B148/(1-IMPOSTOS-C148-TAXA_3X),2))</f>
        <v/>
      </c>
      <c r="F148" s="35" t="str">
        <f aca="false">IF(B148="","",ROUND(B148/(1-IMPOSTOS-C148-TAXA_6X),2))</f>
        <v/>
      </c>
      <c r="G148" s="35" t="str">
        <f aca="false">IF(B148="","",ROUND(B148/(1-IMPOSTOS-C148-TAXA_10X),2))</f>
        <v/>
      </c>
    </row>
    <row r="149" customFormat="false" ht="15.75" hidden="false" customHeight="true" outlineLevel="0" collapsed="false">
      <c r="A149" s="34" t="n">
        <f aca="false">PRODUTOS!A149</f>
        <v>0</v>
      </c>
      <c r="B149" s="35" t="str">
        <f aca="false">IF(PRODUTOS!E149="","",PRODUTOS!E149*(1-ICMS_CREDITO))</f>
        <v/>
      </c>
      <c r="C149" s="34" t="n">
        <f aca="false">IF(PRODUTOS!F149="",MARGEM_PADRAO,PRODUTOS!F149)</f>
        <v>0.3</v>
      </c>
      <c r="D149" s="35" t="str">
        <f aca="false">IF(B149="","",ROUND(B149/(1-IMPOSTOS-C149),2))</f>
        <v/>
      </c>
      <c r="E149" s="35" t="str">
        <f aca="false">IF(B149="","",ROUND(B149/(1-IMPOSTOS-C149-TAXA_3X),2))</f>
        <v/>
      </c>
      <c r="F149" s="35" t="str">
        <f aca="false">IF(B149="","",ROUND(B149/(1-IMPOSTOS-C149-TAXA_6X),2))</f>
        <v/>
      </c>
      <c r="G149" s="35" t="str">
        <f aca="false">IF(B149="","",ROUND(B149/(1-IMPOSTOS-C149-TAXA_10X),2))</f>
        <v/>
      </c>
    </row>
    <row r="150" customFormat="false" ht="15.75" hidden="false" customHeight="true" outlineLevel="0" collapsed="false">
      <c r="A150" s="34" t="n">
        <f aca="false">PRODUTOS!A150</f>
        <v>0</v>
      </c>
      <c r="B150" s="35" t="str">
        <f aca="false">IF(PRODUTOS!E150="","",PRODUTOS!E150*(1-ICMS_CREDITO))</f>
        <v/>
      </c>
      <c r="C150" s="34" t="n">
        <f aca="false">IF(PRODUTOS!F150="",MARGEM_PADRAO,PRODUTOS!F150)</f>
        <v>0.3</v>
      </c>
      <c r="D150" s="35" t="str">
        <f aca="false">IF(B150="","",ROUND(B150/(1-IMPOSTOS-C150),2))</f>
        <v/>
      </c>
      <c r="E150" s="35" t="str">
        <f aca="false">IF(B150="","",ROUND(B150/(1-IMPOSTOS-C150-TAXA_3X),2))</f>
        <v/>
      </c>
      <c r="F150" s="35" t="str">
        <f aca="false">IF(B150="","",ROUND(B150/(1-IMPOSTOS-C150-TAXA_6X),2))</f>
        <v/>
      </c>
      <c r="G150" s="35" t="str">
        <f aca="false">IF(B150="","",ROUND(B150/(1-IMPOSTOS-C150-TAXA_10X),2))</f>
        <v/>
      </c>
    </row>
    <row r="151" customFormat="false" ht="15.75" hidden="false" customHeight="true" outlineLevel="0" collapsed="false">
      <c r="A151" s="34" t="n">
        <f aca="false">PRODUTOS!A151</f>
        <v>0</v>
      </c>
      <c r="B151" s="35" t="str">
        <f aca="false">IF(PRODUTOS!E151="","",PRODUTOS!E151*(1-ICMS_CREDITO))</f>
        <v/>
      </c>
      <c r="C151" s="34" t="n">
        <f aca="false">IF(PRODUTOS!F151="",MARGEM_PADRAO,PRODUTOS!F151)</f>
        <v>0.3</v>
      </c>
      <c r="D151" s="35" t="str">
        <f aca="false">IF(B151="","",ROUND(B151/(1-IMPOSTOS-C151),2))</f>
        <v/>
      </c>
      <c r="E151" s="35" t="str">
        <f aca="false">IF(B151="","",ROUND(B151/(1-IMPOSTOS-C151-TAXA_3X),2))</f>
        <v/>
      </c>
      <c r="F151" s="35" t="str">
        <f aca="false">IF(B151="","",ROUND(B151/(1-IMPOSTOS-C151-TAXA_6X),2))</f>
        <v/>
      </c>
      <c r="G151" s="35" t="str">
        <f aca="false">IF(B151="","",ROUND(B151/(1-IMPOSTOS-C151-TAXA_10X),2))</f>
        <v/>
      </c>
    </row>
    <row r="152" customFormat="false" ht="15.75" hidden="false" customHeight="true" outlineLevel="0" collapsed="false">
      <c r="A152" s="34" t="n">
        <f aca="false">PRODUTOS!A152</f>
        <v>0</v>
      </c>
      <c r="B152" s="35" t="str">
        <f aca="false">IF(PRODUTOS!E152="","",PRODUTOS!E152*(1-ICMS_CREDITO))</f>
        <v/>
      </c>
      <c r="C152" s="34" t="n">
        <f aca="false">IF(PRODUTOS!F152="",MARGEM_PADRAO,PRODUTOS!F152)</f>
        <v>0.3</v>
      </c>
      <c r="D152" s="35" t="str">
        <f aca="false">IF(B152="","",ROUND(B152/(1-IMPOSTOS-C152),2))</f>
        <v/>
      </c>
      <c r="E152" s="35" t="str">
        <f aca="false">IF(B152="","",ROUND(B152/(1-IMPOSTOS-C152-TAXA_3X),2))</f>
        <v/>
      </c>
      <c r="F152" s="35" t="str">
        <f aca="false">IF(B152="","",ROUND(B152/(1-IMPOSTOS-C152-TAXA_6X),2))</f>
        <v/>
      </c>
      <c r="G152" s="35" t="str">
        <f aca="false">IF(B152="","",ROUND(B152/(1-IMPOSTOS-C152-TAXA_10X),2))</f>
        <v/>
      </c>
    </row>
    <row r="153" customFormat="false" ht="15.75" hidden="false" customHeight="true" outlineLevel="0" collapsed="false">
      <c r="A153" s="34" t="n">
        <f aca="false">PRODUTOS!A153</f>
        <v>0</v>
      </c>
      <c r="B153" s="35" t="str">
        <f aca="false">IF(PRODUTOS!E153="","",PRODUTOS!E153*(1-ICMS_CREDITO))</f>
        <v/>
      </c>
      <c r="C153" s="34" t="n">
        <f aca="false">IF(PRODUTOS!F153="",MARGEM_PADRAO,PRODUTOS!F153)</f>
        <v>0.3</v>
      </c>
      <c r="D153" s="35" t="str">
        <f aca="false">IF(B153="","",ROUND(B153/(1-IMPOSTOS-C153),2))</f>
        <v/>
      </c>
      <c r="E153" s="35" t="str">
        <f aca="false">IF(B153="","",ROUND(B153/(1-IMPOSTOS-C153-TAXA_3X),2))</f>
        <v/>
      </c>
      <c r="F153" s="35" t="str">
        <f aca="false">IF(B153="","",ROUND(B153/(1-IMPOSTOS-C153-TAXA_6X),2))</f>
        <v/>
      </c>
      <c r="G153" s="35" t="str">
        <f aca="false">IF(B153="","",ROUND(B153/(1-IMPOSTOS-C153-TAXA_10X),2))</f>
        <v/>
      </c>
    </row>
    <row r="154" customFormat="false" ht="15.75" hidden="false" customHeight="true" outlineLevel="0" collapsed="false">
      <c r="A154" s="34" t="n">
        <f aca="false">PRODUTOS!A154</f>
        <v>0</v>
      </c>
      <c r="B154" s="35" t="str">
        <f aca="false">IF(PRODUTOS!E154="","",PRODUTOS!E154*(1-ICMS_CREDITO))</f>
        <v/>
      </c>
      <c r="C154" s="34" t="n">
        <f aca="false">IF(PRODUTOS!F154="",MARGEM_PADRAO,PRODUTOS!F154)</f>
        <v>0.3</v>
      </c>
      <c r="D154" s="35" t="str">
        <f aca="false">IF(B154="","",ROUND(B154/(1-IMPOSTOS-C154),2))</f>
        <v/>
      </c>
      <c r="E154" s="35" t="str">
        <f aca="false">IF(B154="","",ROUND(B154/(1-IMPOSTOS-C154-TAXA_3X),2))</f>
        <v/>
      </c>
      <c r="F154" s="35" t="str">
        <f aca="false">IF(B154="","",ROUND(B154/(1-IMPOSTOS-C154-TAXA_6X),2))</f>
        <v/>
      </c>
      <c r="G154" s="35" t="str">
        <f aca="false">IF(B154="","",ROUND(B154/(1-IMPOSTOS-C154-TAXA_10X),2))</f>
        <v/>
      </c>
    </row>
    <row r="155" customFormat="false" ht="15.75" hidden="false" customHeight="true" outlineLevel="0" collapsed="false">
      <c r="A155" s="34" t="n">
        <f aca="false">PRODUTOS!A155</f>
        <v>0</v>
      </c>
      <c r="B155" s="35" t="str">
        <f aca="false">IF(PRODUTOS!E155="","",PRODUTOS!E155*(1-ICMS_CREDITO))</f>
        <v/>
      </c>
      <c r="C155" s="34" t="n">
        <f aca="false">IF(PRODUTOS!F155="",MARGEM_PADRAO,PRODUTOS!F155)</f>
        <v>0.3</v>
      </c>
      <c r="D155" s="35" t="str">
        <f aca="false">IF(B155="","",ROUND(B155/(1-IMPOSTOS-C155),2))</f>
        <v/>
      </c>
      <c r="E155" s="35" t="str">
        <f aca="false">IF(B155="","",ROUND(B155/(1-IMPOSTOS-C155-TAXA_3X),2))</f>
        <v/>
      </c>
      <c r="F155" s="35" t="str">
        <f aca="false">IF(B155="","",ROUND(B155/(1-IMPOSTOS-C155-TAXA_6X),2))</f>
        <v/>
      </c>
      <c r="G155" s="35" t="str">
        <f aca="false">IF(B155="","",ROUND(B155/(1-IMPOSTOS-C155-TAXA_10X),2))</f>
        <v/>
      </c>
    </row>
    <row r="156" customFormat="false" ht="15.75" hidden="false" customHeight="true" outlineLevel="0" collapsed="false">
      <c r="A156" s="34" t="n">
        <f aca="false">PRODUTOS!A156</f>
        <v>0</v>
      </c>
      <c r="B156" s="35" t="str">
        <f aca="false">IF(PRODUTOS!E156="","",PRODUTOS!E156*(1-ICMS_CREDITO))</f>
        <v/>
      </c>
      <c r="C156" s="34" t="n">
        <f aca="false">IF(PRODUTOS!F156="",MARGEM_PADRAO,PRODUTOS!F156)</f>
        <v>0.3</v>
      </c>
      <c r="D156" s="35" t="str">
        <f aca="false">IF(B156="","",ROUND(B156/(1-IMPOSTOS-C156),2))</f>
        <v/>
      </c>
      <c r="E156" s="35" t="str">
        <f aca="false">IF(B156="","",ROUND(B156/(1-IMPOSTOS-C156-TAXA_3X),2))</f>
        <v/>
      </c>
      <c r="F156" s="35" t="str">
        <f aca="false">IF(B156="","",ROUND(B156/(1-IMPOSTOS-C156-TAXA_6X),2))</f>
        <v/>
      </c>
      <c r="G156" s="35" t="str">
        <f aca="false">IF(B156="","",ROUND(B156/(1-IMPOSTOS-C156-TAXA_10X),2))</f>
        <v/>
      </c>
    </row>
    <row r="157" customFormat="false" ht="15.75" hidden="false" customHeight="true" outlineLevel="0" collapsed="false">
      <c r="A157" s="34" t="n">
        <f aca="false">PRODUTOS!A157</f>
        <v>0</v>
      </c>
      <c r="B157" s="35" t="str">
        <f aca="false">IF(PRODUTOS!E157="","",PRODUTOS!E157*(1-ICMS_CREDITO))</f>
        <v/>
      </c>
      <c r="C157" s="34" t="n">
        <f aca="false">IF(PRODUTOS!F157="",MARGEM_PADRAO,PRODUTOS!F157)</f>
        <v>0.3</v>
      </c>
      <c r="D157" s="35" t="str">
        <f aca="false">IF(B157="","",ROUND(B157/(1-IMPOSTOS-C157),2))</f>
        <v/>
      </c>
      <c r="E157" s="35" t="str">
        <f aca="false">IF(B157="","",ROUND(B157/(1-IMPOSTOS-C157-TAXA_3X),2))</f>
        <v/>
      </c>
      <c r="F157" s="35" t="str">
        <f aca="false">IF(B157="","",ROUND(B157/(1-IMPOSTOS-C157-TAXA_6X),2))</f>
        <v/>
      </c>
      <c r="G157" s="35" t="str">
        <f aca="false">IF(B157="","",ROUND(B157/(1-IMPOSTOS-C157-TAXA_10X),2))</f>
        <v/>
      </c>
    </row>
    <row r="158" customFormat="false" ht="15.75" hidden="false" customHeight="true" outlineLevel="0" collapsed="false">
      <c r="A158" s="34" t="n">
        <f aca="false">PRODUTOS!A158</f>
        <v>0</v>
      </c>
      <c r="B158" s="35" t="str">
        <f aca="false">IF(PRODUTOS!E158="","",PRODUTOS!E158*(1-ICMS_CREDITO))</f>
        <v/>
      </c>
      <c r="C158" s="34" t="n">
        <f aca="false">IF(PRODUTOS!F158="",MARGEM_PADRAO,PRODUTOS!F158)</f>
        <v>0.3</v>
      </c>
      <c r="D158" s="35" t="str">
        <f aca="false">IF(B158="","",ROUND(B158/(1-IMPOSTOS-C158),2))</f>
        <v/>
      </c>
      <c r="E158" s="35" t="str">
        <f aca="false">IF(B158="","",ROUND(B158/(1-IMPOSTOS-C158-TAXA_3X),2))</f>
        <v/>
      </c>
      <c r="F158" s="35" t="str">
        <f aca="false">IF(B158="","",ROUND(B158/(1-IMPOSTOS-C158-TAXA_6X),2))</f>
        <v/>
      </c>
      <c r="G158" s="35" t="str">
        <f aca="false">IF(B158="","",ROUND(B158/(1-IMPOSTOS-C158-TAXA_10X),2))</f>
        <v/>
      </c>
    </row>
    <row r="159" customFormat="false" ht="15.75" hidden="false" customHeight="true" outlineLevel="0" collapsed="false">
      <c r="A159" s="34" t="n">
        <f aca="false">PRODUTOS!A159</f>
        <v>0</v>
      </c>
      <c r="B159" s="35" t="str">
        <f aca="false">IF(PRODUTOS!E159="","",PRODUTOS!E159*(1-ICMS_CREDITO))</f>
        <v/>
      </c>
      <c r="C159" s="34" t="n">
        <f aca="false">IF(PRODUTOS!F159="",MARGEM_PADRAO,PRODUTOS!F159)</f>
        <v>0.3</v>
      </c>
      <c r="D159" s="35" t="str">
        <f aca="false">IF(B159="","",ROUND(B159/(1-IMPOSTOS-C159),2))</f>
        <v/>
      </c>
      <c r="E159" s="35" t="str">
        <f aca="false">IF(B159="","",ROUND(B159/(1-IMPOSTOS-C159-TAXA_3X),2))</f>
        <v/>
      </c>
      <c r="F159" s="35" t="str">
        <f aca="false">IF(B159="","",ROUND(B159/(1-IMPOSTOS-C159-TAXA_6X),2))</f>
        <v/>
      </c>
      <c r="G159" s="35" t="str">
        <f aca="false">IF(B159="","",ROUND(B159/(1-IMPOSTOS-C159-TAXA_10X),2))</f>
        <v/>
      </c>
    </row>
    <row r="160" customFormat="false" ht="15.75" hidden="false" customHeight="true" outlineLevel="0" collapsed="false">
      <c r="A160" s="34" t="n">
        <f aca="false">PRODUTOS!A160</f>
        <v>0</v>
      </c>
      <c r="B160" s="35" t="str">
        <f aca="false">IF(PRODUTOS!E160="","",PRODUTOS!E160*(1-ICMS_CREDITO))</f>
        <v/>
      </c>
      <c r="C160" s="34" t="n">
        <f aca="false">IF(PRODUTOS!F160="",MARGEM_PADRAO,PRODUTOS!F160)</f>
        <v>0.3</v>
      </c>
      <c r="D160" s="35" t="str">
        <f aca="false">IF(B160="","",ROUND(B160/(1-IMPOSTOS-C160),2))</f>
        <v/>
      </c>
      <c r="E160" s="35" t="str">
        <f aca="false">IF(B160="","",ROUND(B160/(1-IMPOSTOS-C160-TAXA_3X),2))</f>
        <v/>
      </c>
      <c r="F160" s="35" t="str">
        <f aca="false">IF(B160="","",ROUND(B160/(1-IMPOSTOS-C160-TAXA_6X),2))</f>
        <v/>
      </c>
      <c r="G160" s="35" t="str">
        <f aca="false">IF(B160="","",ROUND(B160/(1-IMPOSTOS-C160-TAXA_10X),2))</f>
        <v/>
      </c>
    </row>
    <row r="161" customFormat="false" ht="15.75" hidden="false" customHeight="true" outlineLevel="0" collapsed="false">
      <c r="A161" s="34" t="n">
        <f aca="false">PRODUTOS!A161</f>
        <v>0</v>
      </c>
      <c r="B161" s="35" t="str">
        <f aca="false">IF(PRODUTOS!E161="","",PRODUTOS!E161*(1-ICMS_CREDITO))</f>
        <v/>
      </c>
      <c r="C161" s="34" t="n">
        <f aca="false">IF(PRODUTOS!F161="",MARGEM_PADRAO,PRODUTOS!F161)</f>
        <v>0.3</v>
      </c>
      <c r="D161" s="35" t="str">
        <f aca="false">IF(B161="","",ROUND(B161/(1-IMPOSTOS-C161),2))</f>
        <v/>
      </c>
      <c r="E161" s="35" t="str">
        <f aca="false">IF(B161="","",ROUND(B161/(1-IMPOSTOS-C161-TAXA_3X),2))</f>
        <v/>
      </c>
      <c r="F161" s="35" t="str">
        <f aca="false">IF(B161="","",ROUND(B161/(1-IMPOSTOS-C161-TAXA_6X),2))</f>
        <v/>
      </c>
      <c r="G161" s="35" t="str">
        <f aca="false">IF(B161="","",ROUND(B161/(1-IMPOSTOS-C161-TAXA_10X),2))</f>
        <v/>
      </c>
    </row>
    <row r="162" customFormat="false" ht="15.75" hidden="false" customHeight="true" outlineLevel="0" collapsed="false">
      <c r="A162" s="34" t="n">
        <f aca="false">PRODUTOS!A162</f>
        <v>0</v>
      </c>
      <c r="B162" s="35" t="str">
        <f aca="false">IF(PRODUTOS!E162="","",PRODUTOS!E162*(1-ICMS_CREDITO))</f>
        <v/>
      </c>
      <c r="C162" s="34" t="n">
        <f aca="false">IF(PRODUTOS!F162="",MARGEM_PADRAO,PRODUTOS!F162)</f>
        <v>0.3</v>
      </c>
      <c r="D162" s="35" t="str">
        <f aca="false">IF(B162="","",ROUND(B162/(1-IMPOSTOS-C162),2))</f>
        <v/>
      </c>
      <c r="E162" s="35" t="str">
        <f aca="false">IF(B162="","",ROUND(B162/(1-IMPOSTOS-C162-TAXA_3X),2))</f>
        <v/>
      </c>
      <c r="F162" s="35" t="str">
        <f aca="false">IF(B162="","",ROUND(B162/(1-IMPOSTOS-C162-TAXA_6X),2))</f>
        <v/>
      </c>
      <c r="G162" s="35" t="str">
        <f aca="false">IF(B162="","",ROUND(B162/(1-IMPOSTOS-C162-TAXA_10X),2))</f>
        <v/>
      </c>
    </row>
    <row r="163" customFormat="false" ht="15.75" hidden="false" customHeight="true" outlineLevel="0" collapsed="false">
      <c r="A163" s="34" t="n">
        <f aca="false">PRODUTOS!A163</f>
        <v>0</v>
      </c>
      <c r="B163" s="35" t="str">
        <f aca="false">IF(PRODUTOS!E163="","",PRODUTOS!E163*(1-ICMS_CREDITO))</f>
        <v/>
      </c>
      <c r="C163" s="34" t="n">
        <f aca="false">IF(PRODUTOS!F163="",MARGEM_PADRAO,PRODUTOS!F163)</f>
        <v>0.3</v>
      </c>
      <c r="D163" s="35" t="str">
        <f aca="false">IF(B163="","",ROUND(B163/(1-IMPOSTOS-C163),2))</f>
        <v/>
      </c>
      <c r="E163" s="35" t="str">
        <f aca="false">IF(B163="","",ROUND(B163/(1-IMPOSTOS-C163-TAXA_3X),2))</f>
        <v/>
      </c>
      <c r="F163" s="35" t="str">
        <f aca="false">IF(B163="","",ROUND(B163/(1-IMPOSTOS-C163-TAXA_6X),2))</f>
        <v/>
      </c>
      <c r="G163" s="35" t="str">
        <f aca="false">IF(B163="","",ROUND(B163/(1-IMPOSTOS-C163-TAXA_10X),2))</f>
        <v/>
      </c>
    </row>
    <row r="164" customFormat="false" ht="15.75" hidden="false" customHeight="true" outlineLevel="0" collapsed="false">
      <c r="A164" s="34" t="n">
        <f aca="false">PRODUTOS!A164</f>
        <v>0</v>
      </c>
      <c r="B164" s="35" t="str">
        <f aca="false">IF(PRODUTOS!E164="","",PRODUTOS!E164*(1-ICMS_CREDITO))</f>
        <v/>
      </c>
      <c r="C164" s="34" t="n">
        <f aca="false">IF(PRODUTOS!F164="",MARGEM_PADRAO,PRODUTOS!F164)</f>
        <v>0.3</v>
      </c>
      <c r="D164" s="35" t="str">
        <f aca="false">IF(B164="","",ROUND(B164/(1-IMPOSTOS-C164),2))</f>
        <v/>
      </c>
      <c r="E164" s="35" t="str">
        <f aca="false">IF(B164="","",ROUND(B164/(1-IMPOSTOS-C164-TAXA_3X),2))</f>
        <v/>
      </c>
      <c r="F164" s="35" t="str">
        <f aca="false">IF(B164="","",ROUND(B164/(1-IMPOSTOS-C164-TAXA_6X),2))</f>
        <v/>
      </c>
      <c r="G164" s="35" t="str">
        <f aca="false">IF(B164="","",ROUND(B164/(1-IMPOSTOS-C164-TAXA_10X),2))</f>
        <v/>
      </c>
    </row>
    <row r="165" customFormat="false" ht="15.75" hidden="false" customHeight="true" outlineLevel="0" collapsed="false">
      <c r="A165" s="34" t="n">
        <f aca="false">PRODUTOS!A165</f>
        <v>0</v>
      </c>
      <c r="B165" s="35" t="str">
        <f aca="false">IF(PRODUTOS!E165="","",PRODUTOS!E165*(1-ICMS_CREDITO))</f>
        <v/>
      </c>
      <c r="C165" s="34" t="n">
        <f aca="false">IF(PRODUTOS!F165="",MARGEM_PADRAO,PRODUTOS!F165)</f>
        <v>0.3</v>
      </c>
      <c r="D165" s="35" t="str">
        <f aca="false">IF(B165="","",ROUND(B165/(1-IMPOSTOS-C165),2))</f>
        <v/>
      </c>
      <c r="E165" s="35" t="str">
        <f aca="false">IF(B165="","",ROUND(B165/(1-IMPOSTOS-C165-TAXA_3X),2))</f>
        <v/>
      </c>
      <c r="F165" s="35" t="str">
        <f aca="false">IF(B165="","",ROUND(B165/(1-IMPOSTOS-C165-TAXA_6X),2))</f>
        <v/>
      </c>
      <c r="G165" s="35" t="str">
        <f aca="false">IF(B165="","",ROUND(B165/(1-IMPOSTOS-C165-TAXA_10X),2))</f>
        <v/>
      </c>
    </row>
    <row r="166" customFormat="false" ht="15.75" hidden="false" customHeight="true" outlineLevel="0" collapsed="false">
      <c r="A166" s="34" t="n">
        <f aca="false">PRODUTOS!A166</f>
        <v>0</v>
      </c>
      <c r="B166" s="35" t="str">
        <f aca="false">IF(PRODUTOS!E166="","",PRODUTOS!E166*(1-ICMS_CREDITO))</f>
        <v/>
      </c>
      <c r="C166" s="34" t="n">
        <f aca="false">IF(PRODUTOS!F166="",MARGEM_PADRAO,PRODUTOS!F166)</f>
        <v>0.3</v>
      </c>
      <c r="D166" s="35" t="str">
        <f aca="false">IF(B166="","",ROUND(B166/(1-IMPOSTOS-C166),2))</f>
        <v/>
      </c>
      <c r="E166" s="35" t="str">
        <f aca="false">IF(B166="","",ROUND(B166/(1-IMPOSTOS-C166-TAXA_3X),2))</f>
        <v/>
      </c>
      <c r="F166" s="35" t="str">
        <f aca="false">IF(B166="","",ROUND(B166/(1-IMPOSTOS-C166-TAXA_6X),2))</f>
        <v/>
      </c>
      <c r="G166" s="35" t="str">
        <f aca="false">IF(B166="","",ROUND(B166/(1-IMPOSTOS-C166-TAXA_10X),2))</f>
        <v/>
      </c>
    </row>
    <row r="167" customFormat="false" ht="15.75" hidden="false" customHeight="true" outlineLevel="0" collapsed="false">
      <c r="A167" s="34" t="n">
        <f aca="false">PRODUTOS!A167</f>
        <v>0</v>
      </c>
      <c r="B167" s="35" t="str">
        <f aca="false">IF(PRODUTOS!E167="","",PRODUTOS!E167*(1-ICMS_CREDITO))</f>
        <v/>
      </c>
      <c r="C167" s="34" t="n">
        <f aca="false">IF(PRODUTOS!F167="",MARGEM_PADRAO,PRODUTOS!F167)</f>
        <v>0.3</v>
      </c>
      <c r="D167" s="35" t="str">
        <f aca="false">IF(B167="","",ROUND(B167/(1-IMPOSTOS-C167),2))</f>
        <v/>
      </c>
      <c r="E167" s="35" t="str">
        <f aca="false">IF(B167="","",ROUND(B167/(1-IMPOSTOS-C167-TAXA_3X),2))</f>
        <v/>
      </c>
      <c r="F167" s="35" t="str">
        <f aca="false">IF(B167="","",ROUND(B167/(1-IMPOSTOS-C167-TAXA_6X),2))</f>
        <v/>
      </c>
      <c r="G167" s="35" t="str">
        <f aca="false">IF(B167="","",ROUND(B167/(1-IMPOSTOS-C167-TAXA_10X),2))</f>
        <v/>
      </c>
    </row>
    <row r="168" customFormat="false" ht="15.75" hidden="false" customHeight="true" outlineLevel="0" collapsed="false">
      <c r="A168" s="34" t="n">
        <f aca="false">PRODUTOS!A168</f>
        <v>0</v>
      </c>
      <c r="B168" s="35" t="str">
        <f aca="false">IF(PRODUTOS!E168="","",PRODUTOS!E168*(1-ICMS_CREDITO))</f>
        <v/>
      </c>
      <c r="C168" s="34" t="n">
        <f aca="false">IF(PRODUTOS!F168="",MARGEM_PADRAO,PRODUTOS!F168)</f>
        <v>0.3</v>
      </c>
      <c r="D168" s="35" t="str">
        <f aca="false">IF(B168="","",ROUND(B168/(1-IMPOSTOS-C168),2))</f>
        <v/>
      </c>
      <c r="E168" s="35" t="str">
        <f aca="false">IF(B168="","",ROUND(B168/(1-IMPOSTOS-C168-TAXA_3X),2))</f>
        <v/>
      </c>
      <c r="F168" s="35" t="str">
        <f aca="false">IF(B168="","",ROUND(B168/(1-IMPOSTOS-C168-TAXA_6X),2))</f>
        <v/>
      </c>
      <c r="G168" s="35" t="str">
        <f aca="false">IF(B168="","",ROUND(B168/(1-IMPOSTOS-C168-TAXA_10X),2))</f>
        <v/>
      </c>
    </row>
    <row r="169" customFormat="false" ht="15.75" hidden="false" customHeight="true" outlineLevel="0" collapsed="false">
      <c r="A169" s="34" t="n">
        <f aca="false">PRODUTOS!A169</f>
        <v>0</v>
      </c>
      <c r="B169" s="35" t="str">
        <f aca="false">IF(PRODUTOS!E169="","",PRODUTOS!E169*(1-ICMS_CREDITO))</f>
        <v/>
      </c>
      <c r="C169" s="34" t="n">
        <f aca="false">IF(PRODUTOS!F169="",MARGEM_PADRAO,PRODUTOS!F169)</f>
        <v>0.3</v>
      </c>
      <c r="D169" s="35" t="str">
        <f aca="false">IF(B169="","",ROUND(B169/(1-IMPOSTOS-C169),2))</f>
        <v/>
      </c>
      <c r="E169" s="35" t="str">
        <f aca="false">IF(B169="","",ROUND(B169/(1-IMPOSTOS-C169-TAXA_3X),2))</f>
        <v/>
      </c>
      <c r="F169" s="35" t="str">
        <f aca="false">IF(B169="","",ROUND(B169/(1-IMPOSTOS-C169-TAXA_6X),2))</f>
        <v/>
      </c>
      <c r="G169" s="35" t="str">
        <f aca="false">IF(B169="","",ROUND(B169/(1-IMPOSTOS-C169-TAXA_10X),2))</f>
        <v/>
      </c>
    </row>
    <row r="170" customFormat="false" ht="15.75" hidden="false" customHeight="true" outlineLevel="0" collapsed="false">
      <c r="A170" s="34" t="n">
        <f aca="false">PRODUTOS!A170</f>
        <v>0</v>
      </c>
      <c r="B170" s="35" t="str">
        <f aca="false">IF(PRODUTOS!E170="","",PRODUTOS!E170*(1-ICMS_CREDITO))</f>
        <v/>
      </c>
      <c r="C170" s="34" t="n">
        <f aca="false">IF(PRODUTOS!F170="",MARGEM_PADRAO,PRODUTOS!F170)</f>
        <v>0.3</v>
      </c>
      <c r="D170" s="35" t="str">
        <f aca="false">IF(B170="","",ROUND(B170/(1-IMPOSTOS-C170),2))</f>
        <v/>
      </c>
      <c r="E170" s="35" t="str">
        <f aca="false">IF(B170="","",ROUND(B170/(1-IMPOSTOS-C170-TAXA_3X),2))</f>
        <v/>
      </c>
      <c r="F170" s="35" t="str">
        <f aca="false">IF(B170="","",ROUND(B170/(1-IMPOSTOS-C170-TAXA_6X),2))</f>
        <v/>
      </c>
      <c r="G170" s="35" t="str">
        <f aca="false">IF(B170="","",ROUND(B170/(1-IMPOSTOS-C170-TAXA_10X),2))</f>
        <v/>
      </c>
    </row>
    <row r="171" customFormat="false" ht="15.75" hidden="false" customHeight="true" outlineLevel="0" collapsed="false">
      <c r="A171" s="34" t="n">
        <f aca="false">PRODUTOS!A171</f>
        <v>0</v>
      </c>
      <c r="B171" s="35" t="str">
        <f aca="false">IF(PRODUTOS!E171="","",PRODUTOS!E171*(1-ICMS_CREDITO))</f>
        <v/>
      </c>
      <c r="C171" s="34" t="n">
        <f aca="false">IF(PRODUTOS!F171="",MARGEM_PADRAO,PRODUTOS!F171)</f>
        <v>0.3</v>
      </c>
      <c r="D171" s="35" t="str">
        <f aca="false">IF(B171="","",ROUND(B171/(1-IMPOSTOS-C171),2))</f>
        <v/>
      </c>
      <c r="E171" s="35" t="str">
        <f aca="false">IF(B171="","",ROUND(B171/(1-IMPOSTOS-C171-TAXA_3X),2))</f>
        <v/>
      </c>
      <c r="F171" s="35" t="str">
        <f aca="false">IF(B171="","",ROUND(B171/(1-IMPOSTOS-C171-TAXA_6X),2))</f>
        <v/>
      </c>
      <c r="G171" s="35" t="str">
        <f aca="false">IF(B171="","",ROUND(B171/(1-IMPOSTOS-C171-TAXA_10X),2))</f>
        <v/>
      </c>
    </row>
    <row r="172" customFormat="false" ht="15.75" hidden="false" customHeight="true" outlineLevel="0" collapsed="false">
      <c r="A172" s="34" t="n">
        <f aca="false">PRODUTOS!A172</f>
        <v>0</v>
      </c>
      <c r="B172" s="35" t="str">
        <f aca="false">IF(PRODUTOS!E172="","",PRODUTOS!E172*(1-ICMS_CREDITO))</f>
        <v/>
      </c>
      <c r="C172" s="34" t="n">
        <f aca="false">IF(PRODUTOS!F172="",MARGEM_PADRAO,PRODUTOS!F172)</f>
        <v>0.3</v>
      </c>
      <c r="D172" s="35" t="str">
        <f aca="false">IF(B172="","",ROUND(B172/(1-IMPOSTOS-C172),2))</f>
        <v/>
      </c>
      <c r="E172" s="35" t="str">
        <f aca="false">IF(B172="","",ROUND(B172/(1-IMPOSTOS-C172-TAXA_3X),2))</f>
        <v/>
      </c>
      <c r="F172" s="35" t="str">
        <f aca="false">IF(B172="","",ROUND(B172/(1-IMPOSTOS-C172-TAXA_6X),2))</f>
        <v/>
      </c>
      <c r="G172" s="35" t="str">
        <f aca="false">IF(B172="","",ROUND(B172/(1-IMPOSTOS-C172-TAXA_10X),2))</f>
        <v/>
      </c>
    </row>
    <row r="173" customFormat="false" ht="15.75" hidden="false" customHeight="true" outlineLevel="0" collapsed="false">
      <c r="A173" s="34" t="n">
        <f aca="false">PRODUTOS!A173</f>
        <v>0</v>
      </c>
      <c r="B173" s="35" t="str">
        <f aca="false">IF(PRODUTOS!E173="","",PRODUTOS!E173*(1-ICMS_CREDITO))</f>
        <v/>
      </c>
      <c r="C173" s="34" t="n">
        <f aca="false">IF(PRODUTOS!F173="",MARGEM_PADRAO,PRODUTOS!F173)</f>
        <v>0.3</v>
      </c>
      <c r="D173" s="35" t="str">
        <f aca="false">IF(B173="","",ROUND(B173/(1-IMPOSTOS-C173),2))</f>
        <v/>
      </c>
      <c r="E173" s="35" t="str">
        <f aca="false">IF(B173="","",ROUND(B173/(1-IMPOSTOS-C173-TAXA_3X),2))</f>
        <v/>
      </c>
      <c r="F173" s="35" t="str">
        <f aca="false">IF(B173="","",ROUND(B173/(1-IMPOSTOS-C173-TAXA_6X),2))</f>
        <v/>
      </c>
      <c r="G173" s="35" t="str">
        <f aca="false">IF(B173="","",ROUND(B173/(1-IMPOSTOS-C173-TAXA_10X),2))</f>
        <v/>
      </c>
    </row>
    <row r="174" customFormat="false" ht="15.75" hidden="false" customHeight="true" outlineLevel="0" collapsed="false">
      <c r="A174" s="34" t="n">
        <f aca="false">PRODUTOS!A174</f>
        <v>0</v>
      </c>
      <c r="B174" s="35" t="str">
        <f aca="false">IF(PRODUTOS!E174="","",PRODUTOS!E174*(1-ICMS_CREDITO))</f>
        <v/>
      </c>
      <c r="C174" s="34" t="n">
        <f aca="false">IF(PRODUTOS!F174="",MARGEM_PADRAO,PRODUTOS!F174)</f>
        <v>0.3</v>
      </c>
      <c r="D174" s="35" t="str">
        <f aca="false">IF(B174="","",ROUND(B174/(1-IMPOSTOS-C174),2))</f>
        <v/>
      </c>
      <c r="E174" s="35" t="str">
        <f aca="false">IF(B174="","",ROUND(B174/(1-IMPOSTOS-C174-TAXA_3X),2))</f>
        <v/>
      </c>
      <c r="F174" s="35" t="str">
        <f aca="false">IF(B174="","",ROUND(B174/(1-IMPOSTOS-C174-TAXA_6X),2))</f>
        <v/>
      </c>
      <c r="G174" s="35" t="str">
        <f aca="false">IF(B174="","",ROUND(B174/(1-IMPOSTOS-C174-TAXA_10X),2))</f>
        <v/>
      </c>
    </row>
    <row r="175" customFormat="false" ht="15.75" hidden="false" customHeight="true" outlineLevel="0" collapsed="false">
      <c r="A175" s="34" t="n">
        <f aca="false">PRODUTOS!A175</f>
        <v>0</v>
      </c>
      <c r="B175" s="35" t="str">
        <f aca="false">IF(PRODUTOS!E175="","",PRODUTOS!E175*(1-ICMS_CREDITO))</f>
        <v/>
      </c>
      <c r="C175" s="34" t="n">
        <f aca="false">IF(PRODUTOS!F175="",MARGEM_PADRAO,PRODUTOS!F175)</f>
        <v>0.3</v>
      </c>
      <c r="D175" s="35" t="str">
        <f aca="false">IF(B175="","",ROUND(B175/(1-IMPOSTOS-C175),2))</f>
        <v/>
      </c>
      <c r="E175" s="35" t="str">
        <f aca="false">IF(B175="","",ROUND(B175/(1-IMPOSTOS-C175-TAXA_3X),2))</f>
        <v/>
      </c>
      <c r="F175" s="35" t="str">
        <f aca="false">IF(B175="","",ROUND(B175/(1-IMPOSTOS-C175-TAXA_6X),2))</f>
        <v/>
      </c>
      <c r="G175" s="35" t="str">
        <f aca="false">IF(B175="","",ROUND(B175/(1-IMPOSTOS-C175-TAXA_10X),2))</f>
        <v/>
      </c>
    </row>
    <row r="176" customFormat="false" ht="15.75" hidden="false" customHeight="true" outlineLevel="0" collapsed="false">
      <c r="A176" s="34" t="n">
        <f aca="false">PRODUTOS!A176</f>
        <v>0</v>
      </c>
      <c r="B176" s="35" t="str">
        <f aca="false">IF(PRODUTOS!E176="","",PRODUTOS!E176*(1-ICMS_CREDITO))</f>
        <v/>
      </c>
      <c r="C176" s="34" t="n">
        <f aca="false">IF(PRODUTOS!F176="",MARGEM_PADRAO,PRODUTOS!F176)</f>
        <v>0.3</v>
      </c>
      <c r="D176" s="35" t="str">
        <f aca="false">IF(B176="","",ROUND(B176/(1-IMPOSTOS-C176),2))</f>
        <v/>
      </c>
      <c r="E176" s="35" t="str">
        <f aca="false">IF(B176="","",ROUND(B176/(1-IMPOSTOS-C176-TAXA_3X),2))</f>
        <v/>
      </c>
      <c r="F176" s="35" t="str">
        <f aca="false">IF(B176="","",ROUND(B176/(1-IMPOSTOS-C176-TAXA_6X),2))</f>
        <v/>
      </c>
      <c r="G176" s="35" t="str">
        <f aca="false">IF(B176="","",ROUND(B176/(1-IMPOSTOS-C176-TAXA_10X),2))</f>
        <v/>
      </c>
    </row>
    <row r="177" customFormat="false" ht="15.75" hidden="false" customHeight="true" outlineLevel="0" collapsed="false">
      <c r="A177" s="34" t="n">
        <f aca="false">PRODUTOS!A177</f>
        <v>0</v>
      </c>
      <c r="B177" s="35" t="str">
        <f aca="false">IF(PRODUTOS!E177="","",PRODUTOS!E177*(1-ICMS_CREDITO))</f>
        <v/>
      </c>
      <c r="C177" s="34" t="n">
        <f aca="false">IF(PRODUTOS!F177="",MARGEM_PADRAO,PRODUTOS!F177)</f>
        <v>0.3</v>
      </c>
      <c r="D177" s="35" t="str">
        <f aca="false">IF(B177="","",ROUND(B177/(1-IMPOSTOS-C177),2))</f>
        <v/>
      </c>
      <c r="E177" s="35" t="str">
        <f aca="false">IF(B177="","",ROUND(B177/(1-IMPOSTOS-C177-TAXA_3X),2))</f>
        <v/>
      </c>
      <c r="F177" s="35" t="str">
        <f aca="false">IF(B177="","",ROUND(B177/(1-IMPOSTOS-C177-TAXA_6X),2))</f>
        <v/>
      </c>
      <c r="G177" s="35" t="str">
        <f aca="false">IF(B177="","",ROUND(B177/(1-IMPOSTOS-C177-TAXA_10X),2))</f>
        <v/>
      </c>
    </row>
    <row r="178" customFormat="false" ht="15.75" hidden="false" customHeight="true" outlineLevel="0" collapsed="false">
      <c r="A178" s="34" t="n">
        <f aca="false">PRODUTOS!A178</f>
        <v>0</v>
      </c>
      <c r="B178" s="35" t="str">
        <f aca="false">IF(PRODUTOS!E178="","",PRODUTOS!E178*(1-ICMS_CREDITO))</f>
        <v/>
      </c>
      <c r="C178" s="34" t="n">
        <f aca="false">IF(PRODUTOS!F178="",MARGEM_PADRAO,PRODUTOS!F178)</f>
        <v>0.3</v>
      </c>
      <c r="D178" s="35" t="str">
        <f aca="false">IF(B178="","",ROUND(B178/(1-IMPOSTOS-C178),2))</f>
        <v/>
      </c>
      <c r="E178" s="35" t="str">
        <f aca="false">IF(B178="","",ROUND(B178/(1-IMPOSTOS-C178-TAXA_3X),2))</f>
        <v/>
      </c>
      <c r="F178" s="35" t="str">
        <f aca="false">IF(B178="","",ROUND(B178/(1-IMPOSTOS-C178-TAXA_6X),2))</f>
        <v/>
      </c>
      <c r="G178" s="35" t="str">
        <f aca="false">IF(B178="","",ROUND(B178/(1-IMPOSTOS-C178-TAXA_10X),2))</f>
        <v/>
      </c>
    </row>
    <row r="179" customFormat="false" ht="15.75" hidden="false" customHeight="true" outlineLevel="0" collapsed="false">
      <c r="A179" s="34" t="n">
        <f aca="false">PRODUTOS!A179</f>
        <v>0</v>
      </c>
      <c r="B179" s="35" t="str">
        <f aca="false">IF(PRODUTOS!E179="","",PRODUTOS!E179*(1-ICMS_CREDITO))</f>
        <v/>
      </c>
      <c r="C179" s="34" t="n">
        <f aca="false">IF(PRODUTOS!F179="",MARGEM_PADRAO,PRODUTOS!F179)</f>
        <v>0.3</v>
      </c>
      <c r="D179" s="35" t="str">
        <f aca="false">IF(B179="","",ROUND(B179/(1-IMPOSTOS-C179),2))</f>
        <v/>
      </c>
      <c r="E179" s="35" t="str">
        <f aca="false">IF(B179="","",ROUND(B179/(1-IMPOSTOS-C179-TAXA_3X),2))</f>
        <v/>
      </c>
      <c r="F179" s="35" t="str">
        <f aca="false">IF(B179="","",ROUND(B179/(1-IMPOSTOS-C179-TAXA_6X),2))</f>
        <v/>
      </c>
      <c r="G179" s="35" t="str">
        <f aca="false">IF(B179="","",ROUND(B179/(1-IMPOSTOS-C179-TAXA_10X),2))</f>
        <v/>
      </c>
    </row>
    <row r="180" customFormat="false" ht="15.75" hidden="false" customHeight="true" outlineLevel="0" collapsed="false">
      <c r="A180" s="34" t="n">
        <f aca="false">PRODUTOS!A180</f>
        <v>0</v>
      </c>
      <c r="B180" s="35" t="str">
        <f aca="false">IF(PRODUTOS!E180="","",PRODUTOS!E180*(1-ICMS_CREDITO))</f>
        <v/>
      </c>
      <c r="C180" s="34" t="n">
        <f aca="false">IF(PRODUTOS!F180="",MARGEM_PADRAO,PRODUTOS!F180)</f>
        <v>0.3</v>
      </c>
      <c r="D180" s="35" t="str">
        <f aca="false">IF(B180="","",ROUND(B180/(1-IMPOSTOS-C180),2))</f>
        <v/>
      </c>
      <c r="E180" s="35" t="str">
        <f aca="false">IF(B180="","",ROUND(B180/(1-IMPOSTOS-C180-TAXA_3X),2))</f>
        <v/>
      </c>
      <c r="F180" s="35" t="str">
        <f aca="false">IF(B180="","",ROUND(B180/(1-IMPOSTOS-C180-TAXA_6X),2))</f>
        <v/>
      </c>
      <c r="G180" s="35" t="str">
        <f aca="false">IF(B180="","",ROUND(B180/(1-IMPOSTOS-C180-TAXA_10X),2))</f>
        <v/>
      </c>
    </row>
    <row r="181" customFormat="false" ht="15.75" hidden="false" customHeight="true" outlineLevel="0" collapsed="false">
      <c r="A181" s="34" t="n">
        <f aca="false">PRODUTOS!A181</f>
        <v>0</v>
      </c>
      <c r="B181" s="35" t="str">
        <f aca="false">IF(PRODUTOS!E181="","",PRODUTOS!E181*(1-ICMS_CREDITO))</f>
        <v/>
      </c>
      <c r="C181" s="34" t="n">
        <f aca="false">IF(PRODUTOS!F181="",MARGEM_PADRAO,PRODUTOS!F181)</f>
        <v>0.3</v>
      </c>
      <c r="D181" s="35" t="str">
        <f aca="false">IF(B181="","",ROUND(B181/(1-IMPOSTOS-C181),2))</f>
        <v/>
      </c>
      <c r="E181" s="35" t="str">
        <f aca="false">IF(B181="","",ROUND(B181/(1-IMPOSTOS-C181-TAXA_3X),2))</f>
        <v/>
      </c>
      <c r="F181" s="35" t="str">
        <f aca="false">IF(B181="","",ROUND(B181/(1-IMPOSTOS-C181-TAXA_6X),2))</f>
        <v/>
      </c>
      <c r="G181" s="35" t="str">
        <f aca="false">IF(B181="","",ROUND(B181/(1-IMPOSTOS-C181-TAXA_10X),2))</f>
        <v/>
      </c>
    </row>
    <row r="182" customFormat="false" ht="15.75" hidden="false" customHeight="true" outlineLevel="0" collapsed="false">
      <c r="A182" s="34" t="n">
        <f aca="false">PRODUTOS!A182</f>
        <v>0</v>
      </c>
      <c r="B182" s="35" t="str">
        <f aca="false">IF(PRODUTOS!E182="","",PRODUTOS!E182*(1-ICMS_CREDITO))</f>
        <v/>
      </c>
      <c r="C182" s="34" t="n">
        <f aca="false">IF(PRODUTOS!F182="",MARGEM_PADRAO,PRODUTOS!F182)</f>
        <v>0.3</v>
      </c>
      <c r="D182" s="35" t="str">
        <f aca="false">IF(B182="","",ROUND(B182/(1-IMPOSTOS-C182),2))</f>
        <v/>
      </c>
      <c r="E182" s="35" t="str">
        <f aca="false">IF(B182="","",ROUND(B182/(1-IMPOSTOS-C182-TAXA_3X),2))</f>
        <v/>
      </c>
      <c r="F182" s="35" t="str">
        <f aca="false">IF(B182="","",ROUND(B182/(1-IMPOSTOS-C182-TAXA_6X),2))</f>
        <v/>
      </c>
      <c r="G182" s="35" t="str">
        <f aca="false">IF(B182="","",ROUND(B182/(1-IMPOSTOS-C182-TAXA_10X),2))</f>
        <v/>
      </c>
    </row>
    <row r="183" customFormat="false" ht="15.75" hidden="false" customHeight="true" outlineLevel="0" collapsed="false">
      <c r="A183" s="34" t="n">
        <f aca="false">PRODUTOS!A183</f>
        <v>0</v>
      </c>
      <c r="B183" s="35" t="str">
        <f aca="false">IF(PRODUTOS!E183="","",PRODUTOS!E183*(1-ICMS_CREDITO))</f>
        <v/>
      </c>
      <c r="C183" s="34" t="n">
        <f aca="false">IF(PRODUTOS!F183="",MARGEM_PADRAO,PRODUTOS!F183)</f>
        <v>0.3</v>
      </c>
      <c r="D183" s="35" t="str">
        <f aca="false">IF(B183="","",ROUND(B183/(1-IMPOSTOS-C183),2))</f>
        <v/>
      </c>
      <c r="E183" s="35" t="str">
        <f aca="false">IF(B183="","",ROUND(B183/(1-IMPOSTOS-C183-TAXA_3X),2))</f>
        <v/>
      </c>
      <c r="F183" s="35" t="str">
        <f aca="false">IF(B183="","",ROUND(B183/(1-IMPOSTOS-C183-TAXA_6X),2))</f>
        <v/>
      </c>
      <c r="G183" s="35" t="str">
        <f aca="false">IF(B183="","",ROUND(B183/(1-IMPOSTOS-C183-TAXA_10X),2))</f>
        <v/>
      </c>
    </row>
    <row r="184" customFormat="false" ht="15.75" hidden="false" customHeight="true" outlineLevel="0" collapsed="false">
      <c r="A184" s="34" t="n">
        <f aca="false">PRODUTOS!A184</f>
        <v>0</v>
      </c>
      <c r="B184" s="35" t="str">
        <f aca="false">IF(PRODUTOS!E184="","",PRODUTOS!E184*(1-ICMS_CREDITO))</f>
        <v/>
      </c>
      <c r="C184" s="34" t="n">
        <f aca="false">IF(PRODUTOS!F184="",MARGEM_PADRAO,PRODUTOS!F184)</f>
        <v>0.3</v>
      </c>
      <c r="D184" s="35" t="str">
        <f aca="false">IF(B184="","",ROUND(B184/(1-IMPOSTOS-C184),2))</f>
        <v/>
      </c>
      <c r="E184" s="35" t="str">
        <f aca="false">IF(B184="","",ROUND(B184/(1-IMPOSTOS-C184-TAXA_3X),2))</f>
        <v/>
      </c>
      <c r="F184" s="35" t="str">
        <f aca="false">IF(B184="","",ROUND(B184/(1-IMPOSTOS-C184-TAXA_6X),2))</f>
        <v/>
      </c>
      <c r="G184" s="35" t="str">
        <f aca="false">IF(B184="","",ROUND(B184/(1-IMPOSTOS-C184-TAXA_10X),2))</f>
        <v/>
      </c>
    </row>
    <row r="185" customFormat="false" ht="15.75" hidden="false" customHeight="true" outlineLevel="0" collapsed="false">
      <c r="A185" s="34" t="n">
        <f aca="false">PRODUTOS!A185</f>
        <v>0</v>
      </c>
      <c r="B185" s="35" t="str">
        <f aca="false">IF(PRODUTOS!E185="","",PRODUTOS!E185*(1-ICMS_CREDITO))</f>
        <v/>
      </c>
      <c r="C185" s="34" t="n">
        <f aca="false">IF(PRODUTOS!F185="",MARGEM_PADRAO,PRODUTOS!F185)</f>
        <v>0.3</v>
      </c>
      <c r="D185" s="35" t="str">
        <f aca="false">IF(B185="","",ROUND(B185/(1-IMPOSTOS-C185),2))</f>
        <v/>
      </c>
      <c r="E185" s="35" t="str">
        <f aca="false">IF(B185="","",ROUND(B185/(1-IMPOSTOS-C185-TAXA_3X),2))</f>
        <v/>
      </c>
      <c r="F185" s="35" t="str">
        <f aca="false">IF(B185="","",ROUND(B185/(1-IMPOSTOS-C185-TAXA_6X),2))</f>
        <v/>
      </c>
      <c r="G185" s="35" t="str">
        <f aca="false">IF(B185="","",ROUND(B185/(1-IMPOSTOS-C185-TAXA_10X),2))</f>
        <v/>
      </c>
    </row>
    <row r="186" customFormat="false" ht="15.75" hidden="false" customHeight="true" outlineLevel="0" collapsed="false">
      <c r="A186" s="34" t="n">
        <f aca="false">PRODUTOS!A186</f>
        <v>0</v>
      </c>
      <c r="B186" s="35" t="str">
        <f aca="false">IF(PRODUTOS!E186="","",PRODUTOS!E186*(1-ICMS_CREDITO))</f>
        <v/>
      </c>
      <c r="C186" s="34" t="n">
        <f aca="false">IF(PRODUTOS!F186="",MARGEM_PADRAO,PRODUTOS!F186)</f>
        <v>0.3</v>
      </c>
      <c r="D186" s="35" t="str">
        <f aca="false">IF(B186="","",ROUND(B186/(1-IMPOSTOS-C186),2))</f>
        <v/>
      </c>
      <c r="E186" s="35" t="str">
        <f aca="false">IF(B186="","",ROUND(B186/(1-IMPOSTOS-C186-TAXA_3X),2))</f>
        <v/>
      </c>
      <c r="F186" s="35" t="str">
        <f aca="false">IF(B186="","",ROUND(B186/(1-IMPOSTOS-C186-TAXA_6X),2))</f>
        <v/>
      </c>
      <c r="G186" s="35" t="str">
        <f aca="false">IF(B186="","",ROUND(B186/(1-IMPOSTOS-C186-TAXA_10X),2))</f>
        <v/>
      </c>
    </row>
    <row r="187" customFormat="false" ht="15.75" hidden="false" customHeight="true" outlineLevel="0" collapsed="false">
      <c r="A187" s="34" t="n">
        <f aca="false">PRODUTOS!A187</f>
        <v>0</v>
      </c>
      <c r="B187" s="35" t="str">
        <f aca="false">IF(PRODUTOS!E187="","",PRODUTOS!E187*(1-ICMS_CREDITO))</f>
        <v/>
      </c>
      <c r="C187" s="34" t="n">
        <f aca="false">IF(PRODUTOS!F187="",MARGEM_PADRAO,PRODUTOS!F187)</f>
        <v>0.3</v>
      </c>
      <c r="D187" s="35" t="str">
        <f aca="false">IF(B187="","",ROUND(B187/(1-IMPOSTOS-C187),2))</f>
        <v/>
      </c>
      <c r="E187" s="35" t="str">
        <f aca="false">IF(B187="","",ROUND(B187/(1-IMPOSTOS-C187-TAXA_3X),2))</f>
        <v/>
      </c>
      <c r="F187" s="35" t="str">
        <f aca="false">IF(B187="","",ROUND(B187/(1-IMPOSTOS-C187-TAXA_6X),2))</f>
        <v/>
      </c>
      <c r="G187" s="35" t="str">
        <f aca="false">IF(B187="","",ROUND(B187/(1-IMPOSTOS-C187-TAXA_10X),2))</f>
        <v/>
      </c>
    </row>
    <row r="188" customFormat="false" ht="15.75" hidden="false" customHeight="true" outlineLevel="0" collapsed="false">
      <c r="A188" s="34" t="n">
        <f aca="false">PRODUTOS!A188</f>
        <v>0</v>
      </c>
      <c r="B188" s="35" t="str">
        <f aca="false">IF(PRODUTOS!E188="","",PRODUTOS!E188*(1-ICMS_CREDITO))</f>
        <v/>
      </c>
      <c r="C188" s="34" t="n">
        <f aca="false">IF(PRODUTOS!F188="",MARGEM_PADRAO,PRODUTOS!F188)</f>
        <v>0.3</v>
      </c>
      <c r="D188" s="35" t="str">
        <f aca="false">IF(B188="","",ROUND(B188/(1-IMPOSTOS-C188),2))</f>
        <v/>
      </c>
      <c r="E188" s="35" t="str">
        <f aca="false">IF(B188="","",ROUND(B188/(1-IMPOSTOS-C188-TAXA_3X),2))</f>
        <v/>
      </c>
      <c r="F188" s="35" t="str">
        <f aca="false">IF(B188="","",ROUND(B188/(1-IMPOSTOS-C188-TAXA_6X),2))</f>
        <v/>
      </c>
      <c r="G188" s="35" t="str">
        <f aca="false">IF(B188="","",ROUND(B188/(1-IMPOSTOS-C188-TAXA_10X),2))</f>
        <v/>
      </c>
    </row>
    <row r="189" customFormat="false" ht="15.75" hidden="false" customHeight="true" outlineLevel="0" collapsed="false">
      <c r="A189" s="34" t="n">
        <f aca="false">PRODUTOS!A189</f>
        <v>0</v>
      </c>
      <c r="B189" s="35" t="str">
        <f aca="false">IF(PRODUTOS!E189="","",PRODUTOS!E189*(1-ICMS_CREDITO))</f>
        <v/>
      </c>
      <c r="C189" s="34" t="n">
        <f aca="false">IF(PRODUTOS!F189="",MARGEM_PADRAO,PRODUTOS!F189)</f>
        <v>0.3</v>
      </c>
      <c r="D189" s="35" t="str">
        <f aca="false">IF(B189="","",ROUND(B189/(1-IMPOSTOS-C189),2))</f>
        <v/>
      </c>
      <c r="E189" s="35" t="str">
        <f aca="false">IF(B189="","",ROUND(B189/(1-IMPOSTOS-C189-TAXA_3X),2))</f>
        <v/>
      </c>
      <c r="F189" s="35" t="str">
        <f aca="false">IF(B189="","",ROUND(B189/(1-IMPOSTOS-C189-TAXA_6X),2))</f>
        <v/>
      </c>
      <c r="G189" s="35" t="str">
        <f aca="false">IF(B189="","",ROUND(B189/(1-IMPOSTOS-C189-TAXA_10X),2))</f>
        <v/>
      </c>
    </row>
    <row r="190" customFormat="false" ht="15.75" hidden="false" customHeight="true" outlineLevel="0" collapsed="false">
      <c r="A190" s="34" t="n">
        <f aca="false">PRODUTOS!A190</f>
        <v>0</v>
      </c>
      <c r="B190" s="35" t="str">
        <f aca="false">IF(PRODUTOS!E190="","",PRODUTOS!E190*(1-ICMS_CREDITO))</f>
        <v/>
      </c>
      <c r="C190" s="34" t="n">
        <f aca="false">IF(PRODUTOS!F190="",MARGEM_PADRAO,PRODUTOS!F190)</f>
        <v>0.3</v>
      </c>
      <c r="D190" s="35" t="str">
        <f aca="false">IF(B190="","",ROUND(B190/(1-IMPOSTOS-C190),2))</f>
        <v/>
      </c>
      <c r="E190" s="35" t="str">
        <f aca="false">IF(B190="","",ROUND(B190/(1-IMPOSTOS-C190-TAXA_3X),2))</f>
        <v/>
      </c>
      <c r="F190" s="35" t="str">
        <f aca="false">IF(B190="","",ROUND(B190/(1-IMPOSTOS-C190-TAXA_6X),2))</f>
        <v/>
      </c>
      <c r="G190" s="35" t="str">
        <f aca="false">IF(B190="","",ROUND(B190/(1-IMPOSTOS-C190-TAXA_10X),2))</f>
        <v/>
      </c>
    </row>
    <row r="191" customFormat="false" ht="15.75" hidden="false" customHeight="true" outlineLevel="0" collapsed="false">
      <c r="A191" s="34" t="n">
        <f aca="false">PRODUTOS!A191</f>
        <v>0</v>
      </c>
      <c r="B191" s="35" t="str">
        <f aca="false">IF(PRODUTOS!E191="","",PRODUTOS!E191*(1-ICMS_CREDITO))</f>
        <v/>
      </c>
      <c r="C191" s="34" t="n">
        <f aca="false">IF(PRODUTOS!F191="",MARGEM_PADRAO,PRODUTOS!F191)</f>
        <v>0.3</v>
      </c>
      <c r="D191" s="35" t="str">
        <f aca="false">IF(B191="","",ROUND(B191/(1-IMPOSTOS-C191),2))</f>
        <v/>
      </c>
      <c r="E191" s="35" t="str">
        <f aca="false">IF(B191="","",ROUND(B191/(1-IMPOSTOS-C191-TAXA_3X),2))</f>
        <v/>
      </c>
      <c r="F191" s="35" t="str">
        <f aca="false">IF(B191="","",ROUND(B191/(1-IMPOSTOS-C191-TAXA_6X),2))</f>
        <v/>
      </c>
      <c r="G191" s="35" t="str">
        <f aca="false">IF(B191="","",ROUND(B191/(1-IMPOSTOS-C191-TAXA_10X),2))</f>
        <v/>
      </c>
    </row>
    <row r="192" customFormat="false" ht="15.75" hidden="false" customHeight="true" outlineLevel="0" collapsed="false">
      <c r="A192" s="34" t="n">
        <f aca="false">PRODUTOS!A192</f>
        <v>0</v>
      </c>
      <c r="B192" s="35" t="str">
        <f aca="false">IF(PRODUTOS!E192="","",PRODUTOS!E192*(1-ICMS_CREDITO))</f>
        <v/>
      </c>
      <c r="C192" s="34" t="n">
        <f aca="false">IF(PRODUTOS!F192="",MARGEM_PADRAO,PRODUTOS!F192)</f>
        <v>0.3</v>
      </c>
      <c r="D192" s="35" t="str">
        <f aca="false">IF(B192="","",ROUND(B192/(1-IMPOSTOS-C192),2))</f>
        <v/>
      </c>
      <c r="E192" s="35" t="str">
        <f aca="false">IF(B192="","",ROUND(B192/(1-IMPOSTOS-C192-TAXA_3X),2))</f>
        <v/>
      </c>
      <c r="F192" s="35" t="str">
        <f aca="false">IF(B192="","",ROUND(B192/(1-IMPOSTOS-C192-TAXA_6X),2))</f>
        <v/>
      </c>
      <c r="G192" s="35" t="str">
        <f aca="false">IF(B192="","",ROUND(B192/(1-IMPOSTOS-C192-TAXA_10X),2))</f>
        <v/>
      </c>
    </row>
    <row r="193" customFormat="false" ht="15.75" hidden="false" customHeight="true" outlineLevel="0" collapsed="false">
      <c r="A193" s="34" t="n">
        <f aca="false">PRODUTOS!A193</f>
        <v>0</v>
      </c>
      <c r="B193" s="35" t="str">
        <f aca="false">IF(PRODUTOS!E193="","",PRODUTOS!E193*(1-ICMS_CREDITO))</f>
        <v/>
      </c>
      <c r="C193" s="34" t="n">
        <f aca="false">IF(PRODUTOS!F193="",MARGEM_PADRAO,PRODUTOS!F193)</f>
        <v>0.3</v>
      </c>
      <c r="D193" s="35" t="str">
        <f aca="false">IF(B193="","",ROUND(B193/(1-IMPOSTOS-C193),2))</f>
        <v/>
      </c>
      <c r="E193" s="35" t="str">
        <f aca="false">IF(B193="","",ROUND(B193/(1-IMPOSTOS-C193-TAXA_3X),2))</f>
        <v/>
      </c>
      <c r="F193" s="35" t="str">
        <f aca="false">IF(B193="","",ROUND(B193/(1-IMPOSTOS-C193-TAXA_6X),2))</f>
        <v/>
      </c>
      <c r="G193" s="35" t="str">
        <f aca="false">IF(B193="","",ROUND(B193/(1-IMPOSTOS-C193-TAXA_10X),2))</f>
        <v/>
      </c>
    </row>
    <row r="194" customFormat="false" ht="15.75" hidden="false" customHeight="true" outlineLevel="0" collapsed="false">
      <c r="A194" s="34" t="n">
        <f aca="false">PRODUTOS!A194</f>
        <v>0</v>
      </c>
      <c r="B194" s="35" t="str">
        <f aca="false">IF(PRODUTOS!E194="","",PRODUTOS!E194*(1-ICMS_CREDITO))</f>
        <v/>
      </c>
      <c r="C194" s="34" t="n">
        <f aca="false">IF(PRODUTOS!F194="",MARGEM_PADRAO,PRODUTOS!F194)</f>
        <v>0.3</v>
      </c>
      <c r="D194" s="35" t="str">
        <f aca="false">IF(B194="","",ROUND(B194/(1-IMPOSTOS-C194),2))</f>
        <v/>
      </c>
      <c r="E194" s="35" t="str">
        <f aca="false">IF(B194="","",ROUND(B194/(1-IMPOSTOS-C194-TAXA_3X),2))</f>
        <v/>
      </c>
      <c r="F194" s="35" t="str">
        <f aca="false">IF(B194="","",ROUND(B194/(1-IMPOSTOS-C194-TAXA_6X),2))</f>
        <v/>
      </c>
      <c r="G194" s="35" t="str">
        <f aca="false">IF(B194="","",ROUND(B194/(1-IMPOSTOS-C194-TAXA_10X),2))</f>
        <v/>
      </c>
    </row>
    <row r="195" customFormat="false" ht="15.75" hidden="false" customHeight="true" outlineLevel="0" collapsed="false">
      <c r="A195" s="34" t="n">
        <f aca="false">PRODUTOS!A195</f>
        <v>0</v>
      </c>
      <c r="B195" s="35" t="str">
        <f aca="false">IF(PRODUTOS!E195="","",PRODUTOS!E195*(1-ICMS_CREDITO))</f>
        <v/>
      </c>
      <c r="C195" s="34" t="n">
        <f aca="false">IF(PRODUTOS!F195="",MARGEM_PADRAO,PRODUTOS!F195)</f>
        <v>0.3</v>
      </c>
      <c r="D195" s="35" t="str">
        <f aca="false">IF(B195="","",ROUND(B195/(1-IMPOSTOS-C195),2))</f>
        <v/>
      </c>
      <c r="E195" s="35" t="str">
        <f aca="false">IF(B195="","",ROUND(B195/(1-IMPOSTOS-C195-TAXA_3X),2))</f>
        <v/>
      </c>
      <c r="F195" s="35" t="str">
        <f aca="false">IF(B195="","",ROUND(B195/(1-IMPOSTOS-C195-TAXA_6X),2))</f>
        <v/>
      </c>
      <c r="G195" s="35" t="str">
        <f aca="false">IF(B195="","",ROUND(B195/(1-IMPOSTOS-C195-TAXA_10X),2))</f>
        <v/>
      </c>
    </row>
    <row r="196" customFormat="false" ht="15.75" hidden="false" customHeight="true" outlineLevel="0" collapsed="false">
      <c r="A196" s="34" t="n">
        <f aca="false">PRODUTOS!A196</f>
        <v>0</v>
      </c>
      <c r="B196" s="35" t="str">
        <f aca="false">IF(PRODUTOS!E196="","",PRODUTOS!E196*(1-ICMS_CREDITO))</f>
        <v/>
      </c>
      <c r="C196" s="34" t="n">
        <f aca="false">IF(PRODUTOS!F196="",MARGEM_PADRAO,PRODUTOS!F196)</f>
        <v>0.3</v>
      </c>
      <c r="D196" s="35" t="str">
        <f aca="false">IF(B196="","",ROUND(B196/(1-IMPOSTOS-C196),2))</f>
        <v/>
      </c>
      <c r="E196" s="35" t="str">
        <f aca="false">IF(B196="","",ROUND(B196/(1-IMPOSTOS-C196-TAXA_3X),2))</f>
        <v/>
      </c>
      <c r="F196" s="35" t="str">
        <f aca="false">IF(B196="","",ROUND(B196/(1-IMPOSTOS-C196-TAXA_6X),2))</f>
        <v/>
      </c>
      <c r="G196" s="35" t="str">
        <f aca="false">IF(B196="","",ROUND(B196/(1-IMPOSTOS-C196-TAXA_10X),2))</f>
        <v/>
      </c>
    </row>
    <row r="197" customFormat="false" ht="15.75" hidden="false" customHeight="true" outlineLevel="0" collapsed="false">
      <c r="A197" s="34" t="n">
        <f aca="false">PRODUTOS!A197</f>
        <v>0</v>
      </c>
      <c r="B197" s="35" t="str">
        <f aca="false">IF(PRODUTOS!E197="","",PRODUTOS!E197*(1-ICMS_CREDITO))</f>
        <v/>
      </c>
      <c r="C197" s="34" t="n">
        <f aca="false">IF(PRODUTOS!F197="",MARGEM_PADRAO,PRODUTOS!F197)</f>
        <v>0.3</v>
      </c>
      <c r="D197" s="35" t="str">
        <f aca="false">IF(B197="","",ROUND(B197/(1-IMPOSTOS-C197),2))</f>
        <v/>
      </c>
      <c r="E197" s="35" t="str">
        <f aca="false">IF(B197="","",ROUND(B197/(1-IMPOSTOS-C197-TAXA_3X),2))</f>
        <v/>
      </c>
      <c r="F197" s="35" t="str">
        <f aca="false">IF(B197="","",ROUND(B197/(1-IMPOSTOS-C197-TAXA_6X),2))</f>
        <v/>
      </c>
      <c r="G197" s="35" t="str">
        <f aca="false">IF(B197="","",ROUND(B197/(1-IMPOSTOS-C197-TAXA_10X),2))</f>
        <v/>
      </c>
    </row>
    <row r="198" customFormat="false" ht="15.75" hidden="false" customHeight="true" outlineLevel="0" collapsed="false">
      <c r="A198" s="34" t="n">
        <f aca="false">PRODUTOS!A198</f>
        <v>0</v>
      </c>
      <c r="B198" s="35" t="str">
        <f aca="false">IF(PRODUTOS!E198="","",PRODUTOS!E198*(1-ICMS_CREDITO))</f>
        <v/>
      </c>
      <c r="C198" s="34" t="n">
        <f aca="false">IF(PRODUTOS!F198="",MARGEM_PADRAO,PRODUTOS!F198)</f>
        <v>0.3</v>
      </c>
      <c r="D198" s="35" t="str">
        <f aca="false">IF(B198="","",ROUND(B198/(1-IMPOSTOS-C198),2))</f>
        <v/>
      </c>
      <c r="E198" s="35" t="str">
        <f aca="false">IF(B198="","",ROUND(B198/(1-IMPOSTOS-C198-TAXA_3X),2))</f>
        <v/>
      </c>
      <c r="F198" s="35" t="str">
        <f aca="false">IF(B198="","",ROUND(B198/(1-IMPOSTOS-C198-TAXA_6X),2))</f>
        <v/>
      </c>
      <c r="G198" s="35" t="str">
        <f aca="false">IF(B198="","",ROUND(B198/(1-IMPOSTOS-C198-TAXA_10X),2))</f>
        <v/>
      </c>
    </row>
    <row r="199" customFormat="false" ht="15.75" hidden="false" customHeight="true" outlineLevel="0" collapsed="false">
      <c r="A199" s="34" t="n">
        <f aca="false">PRODUTOS!A199</f>
        <v>0</v>
      </c>
      <c r="B199" s="35" t="str">
        <f aca="false">IF(PRODUTOS!E199="","",PRODUTOS!E199*(1-ICMS_CREDITO))</f>
        <v/>
      </c>
      <c r="C199" s="34" t="n">
        <f aca="false">IF(PRODUTOS!F199="",MARGEM_PADRAO,PRODUTOS!F199)</f>
        <v>0.3</v>
      </c>
      <c r="D199" s="35" t="str">
        <f aca="false">IF(B199="","",ROUND(B199/(1-IMPOSTOS-C199),2))</f>
        <v/>
      </c>
      <c r="E199" s="35" t="str">
        <f aca="false">IF(B199="","",ROUND(B199/(1-IMPOSTOS-C199-TAXA_3X),2))</f>
        <v/>
      </c>
      <c r="F199" s="35" t="str">
        <f aca="false">IF(B199="","",ROUND(B199/(1-IMPOSTOS-C199-TAXA_6X),2))</f>
        <v/>
      </c>
      <c r="G199" s="35" t="str">
        <f aca="false">IF(B199="","",ROUND(B199/(1-IMPOSTOS-C199-TAXA_10X),2))</f>
        <v/>
      </c>
    </row>
    <row r="200" customFormat="false" ht="15.75" hidden="false" customHeight="true" outlineLevel="0" collapsed="false">
      <c r="A200" s="34" t="n">
        <f aca="false">PRODUTOS!A200</f>
        <v>0</v>
      </c>
      <c r="B200" s="35" t="str">
        <f aca="false">IF(PRODUTOS!E200="","",PRODUTOS!E200*(1-ICMS_CREDITO))</f>
        <v/>
      </c>
      <c r="C200" s="34" t="n">
        <f aca="false">IF(PRODUTOS!F200="",MARGEM_PADRAO,PRODUTOS!F200)</f>
        <v>0.3</v>
      </c>
      <c r="D200" s="35" t="str">
        <f aca="false">IF(B200="","",ROUND(B200/(1-IMPOSTOS-C200),2))</f>
        <v/>
      </c>
      <c r="E200" s="35" t="str">
        <f aca="false">IF(B200="","",ROUND(B200/(1-IMPOSTOS-C200-TAXA_3X),2))</f>
        <v/>
      </c>
      <c r="F200" s="35" t="str">
        <f aca="false">IF(B200="","",ROUND(B200/(1-IMPOSTOS-C200-TAXA_6X),2))</f>
        <v/>
      </c>
      <c r="G200" s="35" t="str">
        <f aca="false">IF(B200="","",ROUND(B200/(1-IMPOSTOS-C200-TAXA_10X),2))</f>
        <v/>
      </c>
    </row>
    <row r="201" customFormat="false" ht="15.75" hidden="false" customHeight="true" outlineLevel="0" collapsed="false">
      <c r="A201" s="34" t="n">
        <f aca="false">PRODUTOS!A201</f>
        <v>0</v>
      </c>
      <c r="B201" s="35" t="str">
        <f aca="false">IF(PRODUTOS!E201="","",PRODUTOS!E201*(1-ICMS_CREDITO))</f>
        <v/>
      </c>
      <c r="C201" s="34" t="n">
        <f aca="false">IF(PRODUTOS!F201="",MARGEM_PADRAO,PRODUTOS!F201)</f>
        <v>0.3</v>
      </c>
      <c r="D201" s="35" t="str">
        <f aca="false">IF(B201="","",ROUND(B201/(1-IMPOSTOS-C201),2))</f>
        <v/>
      </c>
      <c r="E201" s="35" t="str">
        <f aca="false">IF(B201="","",ROUND(B201/(1-IMPOSTOS-C201-TAXA_3X),2))</f>
        <v/>
      </c>
      <c r="F201" s="35" t="str">
        <f aca="false">IF(B201="","",ROUND(B201/(1-IMPOSTOS-C201-TAXA_6X),2))</f>
        <v/>
      </c>
      <c r="G201" s="35" t="str">
        <f aca="false">IF(B201="","",ROUND(B201/(1-IMPOSTOS-C201-TAXA_10X),2))</f>
        <v/>
      </c>
    </row>
    <row r="202" customFormat="false" ht="15.75" hidden="false" customHeight="true" outlineLevel="0" collapsed="false">
      <c r="A202" s="34" t="n">
        <f aca="false">PRODUTOS!A202</f>
        <v>0</v>
      </c>
      <c r="B202" s="35" t="str">
        <f aca="false">IF(PRODUTOS!E202="","",PRODUTOS!E202*(1-ICMS_CREDITO))</f>
        <v/>
      </c>
      <c r="C202" s="34" t="n">
        <f aca="false">IF(PRODUTOS!F202="",MARGEM_PADRAO,PRODUTOS!F202)</f>
        <v>0.3</v>
      </c>
      <c r="D202" s="35" t="str">
        <f aca="false">IF(B202="","",ROUND(B202/(1-IMPOSTOS-C202),2))</f>
        <v/>
      </c>
      <c r="E202" s="35" t="str">
        <f aca="false">IF(B202="","",ROUND(B202/(1-IMPOSTOS-C202-TAXA_3X),2))</f>
        <v/>
      </c>
      <c r="F202" s="35" t="str">
        <f aca="false">IF(B202="","",ROUND(B202/(1-IMPOSTOS-C202-TAXA_6X),2))</f>
        <v/>
      </c>
      <c r="G202" s="35" t="str">
        <f aca="false">IF(B202="","",ROUND(B202/(1-IMPOSTOS-C202-TAXA_10X),2))</f>
        <v/>
      </c>
    </row>
    <row r="203" customFormat="false" ht="15.75" hidden="false" customHeight="true" outlineLevel="0" collapsed="false">
      <c r="A203" s="34" t="n">
        <f aca="false">PRODUTOS!A203</f>
        <v>0</v>
      </c>
      <c r="B203" s="35" t="str">
        <f aca="false">IF(PRODUTOS!E203="","",PRODUTOS!E203*(1-ICMS_CREDITO))</f>
        <v/>
      </c>
      <c r="C203" s="34" t="n">
        <f aca="false">IF(PRODUTOS!F203="",MARGEM_PADRAO,PRODUTOS!F203)</f>
        <v>0.3</v>
      </c>
      <c r="D203" s="35" t="str">
        <f aca="false">IF(B203="","",ROUND(B203/(1-IMPOSTOS-C203),2))</f>
        <v/>
      </c>
      <c r="E203" s="35" t="str">
        <f aca="false">IF(B203="","",ROUND(B203/(1-IMPOSTOS-C203-TAXA_3X),2))</f>
        <v/>
      </c>
      <c r="F203" s="35" t="str">
        <f aca="false">IF(B203="","",ROUND(B203/(1-IMPOSTOS-C203-TAXA_6X),2))</f>
        <v/>
      </c>
      <c r="G203" s="35" t="str">
        <f aca="false">IF(B203="","",ROUND(B203/(1-IMPOSTOS-C203-TAXA_10X),2))</f>
        <v/>
      </c>
    </row>
    <row r="204" customFormat="false" ht="15.75" hidden="false" customHeight="true" outlineLevel="0" collapsed="false">
      <c r="A204" s="34" t="n">
        <f aca="false">PRODUTOS!A204</f>
        <v>0</v>
      </c>
      <c r="B204" s="35" t="str">
        <f aca="false">IF(PRODUTOS!E204="","",PRODUTOS!E204*(1-ICMS_CREDITO))</f>
        <v/>
      </c>
      <c r="C204" s="34" t="n">
        <f aca="false">IF(PRODUTOS!F204="",MARGEM_PADRAO,PRODUTOS!F204)</f>
        <v>0.3</v>
      </c>
      <c r="D204" s="35" t="str">
        <f aca="false">IF(B204="","",ROUND(B204/(1-IMPOSTOS-C204),2))</f>
        <v/>
      </c>
      <c r="E204" s="35" t="str">
        <f aca="false">IF(B204="","",ROUND(B204/(1-IMPOSTOS-C204-TAXA_3X),2))</f>
        <v/>
      </c>
      <c r="F204" s="35" t="str">
        <f aca="false">IF(B204="","",ROUND(B204/(1-IMPOSTOS-C204-TAXA_6X),2))</f>
        <v/>
      </c>
      <c r="G204" s="35" t="str">
        <f aca="false">IF(B204="","",ROUND(B204/(1-IMPOSTOS-C204-TAXA_10X),2))</f>
        <v/>
      </c>
    </row>
    <row r="205" customFormat="false" ht="15.75" hidden="false" customHeight="true" outlineLevel="0" collapsed="false">
      <c r="A205" s="34" t="n">
        <f aca="false">PRODUTOS!A205</f>
        <v>0</v>
      </c>
      <c r="B205" s="35" t="str">
        <f aca="false">IF(PRODUTOS!E205="","",PRODUTOS!E205*(1-ICMS_CREDITO))</f>
        <v/>
      </c>
      <c r="C205" s="34" t="n">
        <f aca="false">IF(PRODUTOS!F205="",MARGEM_PADRAO,PRODUTOS!F205)</f>
        <v>0.3</v>
      </c>
      <c r="D205" s="35" t="str">
        <f aca="false">IF(B205="","",ROUND(B205/(1-IMPOSTOS-C205),2))</f>
        <v/>
      </c>
      <c r="E205" s="35" t="str">
        <f aca="false">IF(B205="","",ROUND(B205/(1-IMPOSTOS-C205-TAXA_3X),2))</f>
        <v/>
      </c>
      <c r="F205" s="35" t="str">
        <f aca="false">IF(B205="","",ROUND(B205/(1-IMPOSTOS-C205-TAXA_6X),2))</f>
        <v/>
      </c>
      <c r="G205" s="35" t="str">
        <f aca="false">IF(B205="","",ROUND(B205/(1-IMPOSTOS-C205-TAXA_10X),2))</f>
        <v/>
      </c>
    </row>
    <row r="206" customFormat="false" ht="15.75" hidden="false" customHeight="true" outlineLevel="0" collapsed="false">
      <c r="A206" s="34" t="n">
        <f aca="false">PRODUTOS!A206</f>
        <v>0</v>
      </c>
      <c r="B206" s="35" t="str">
        <f aca="false">IF(PRODUTOS!E206="","",PRODUTOS!E206*(1-ICMS_CREDITO))</f>
        <v/>
      </c>
      <c r="C206" s="34" t="n">
        <f aca="false">IF(PRODUTOS!F206="",MARGEM_PADRAO,PRODUTOS!F206)</f>
        <v>0.3</v>
      </c>
      <c r="D206" s="35" t="str">
        <f aca="false">IF(B206="","",ROUND(B206/(1-IMPOSTOS-C206),2))</f>
        <v/>
      </c>
      <c r="E206" s="35" t="str">
        <f aca="false">IF(B206="","",ROUND(B206/(1-IMPOSTOS-C206-TAXA_3X),2))</f>
        <v/>
      </c>
      <c r="F206" s="35" t="str">
        <f aca="false">IF(B206="","",ROUND(B206/(1-IMPOSTOS-C206-TAXA_6X),2))</f>
        <v/>
      </c>
      <c r="G206" s="35" t="str">
        <f aca="false">IF(B206="","",ROUND(B206/(1-IMPOSTOS-C206-TAXA_10X),2))</f>
        <v/>
      </c>
    </row>
    <row r="207" customFormat="false" ht="15.75" hidden="false" customHeight="true" outlineLevel="0" collapsed="false">
      <c r="A207" s="34" t="n">
        <f aca="false">PRODUTOS!A207</f>
        <v>0</v>
      </c>
      <c r="B207" s="35" t="str">
        <f aca="false">IF(PRODUTOS!E207="","",PRODUTOS!E207*(1-ICMS_CREDITO))</f>
        <v/>
      </c>
      <c r="C207" s="34" t="n">
        <f aca="false">IF(PRODUTOS!F207="",MARGEM_PADRAO,PRODUTOS!F207)</f>
        <v>0.3</v>
      </c>
      <c r="D207" s="35" t="str">
        <f aca="false">IF(B207="","",ROUND(B207/(1-IMPOSTOS-C207),2))</f>
        <v/>
      </c>
      <c r="E207" s="35" t="str">
        <f aca="false">IF(B207="","",ROUND(B207/(1-IMPOSTOS-C207-TAXA_3X),2))</f>
        <v/>
      </c>
      <c r="F207" s="35" t="str">
        <f aca="false">IF(B207="","",ROUND(B207/(1-IMPOSTOS-C207-TAXA_6X),2))</f>
        <v/>
      </c>
      <c r="G207" s="35" t="str">
        <f aca="false">IF(B207="","",ROUND(B207/(1-IMPOSTOS-C207-TAXA_10X),2))</f>
        <v/>
      </c>
    </row>
    <row r="208" customFormat="false" ht="15.75" hidden="false" customHeight="true" outlineLevel="0" collapsed="false">
      <c r="A208" s="34" t="n">
        <f aca="false">PRODUTOS!A208</f>
        <v>0</v>
      </c>
      <c r="B208" s="35" t="str">
        <f aca="false">IF(PRODUTOS!E208="","",PRODUTOS!E208*(1-ICMS_CREDITO))</f>
        <v/>
      </c>
      <c r="C208" s="34" t="n">
        <f aca="false">IF(PRODUTOS!F208="",MARGEM_PADRAO,PRODUTOS!F208)</f>
        <v>0.3</v>
      </c>
      <c r="D208" s="35" t="str">
        <f aca="false">IF(B208="","",ROUND(B208/(1-IMPOSTOS-C208),2))</f>
        <v/>
      </c>
      <c r="E208" s="35" t="str">
        <f aca="false">IF(B208="","",ROUND(B208/(1-IMPOSTOS-C208-TAXA_3X),2))</f>
        <v/>
      </c>
      <c r="F208" s="35" t="str">
        <f aca="false">IF(B208="","",ROUND(B208/(1-IMPOSTOS-C208-TAXA_6X),2))</f>
        <v/>
      </c>
      <c r="G208" s="35" t="str">
        <f aca="false">IF(B208="","",ROUND(B208/(1-IMPOSTOS-C208-TAXA_10X),2))</f>
        <v/>
      </c>
    </row>
    <row r="209" customFormat="false" ht="15.75" hidden="false" customHeight="true" outlineLevel="0" collapsed="false">
      <c r="A209" s="34" t="n">
        <f aca="false">PRODUTOS!A209</f>
        <v>0</v>
      </c>
      <c r="B209" s="35" t="str">
        <f aca="false">IF(PRODUTOS!E209="","",PRODUTOS!E209*(1-ICMS_CREDITO))</f>
        <v/>
      </c>
      <c r="C209" s="34" t="n">
        <f aca="false">IF(PRODUTOS!F209="",MARGEM_PADRAO,PRODUTOS!F209)</f>
        <v>0.3</v>
      </c>
      <c r="D209" s="35" t="str">
        <f aca="false">IF(B209="","",ROUND(B209/(1-IMPOSTOS-C209),2))</f>
        <v/>
      </c>
      <c r="E209" s="35" t="str">
        <f aca="false">IF(B209="","",ROUND(B209/(1-IMPOSTOS-C209-TAXA_3X),2))</f>
        <v/>
      </c>
      <c r="F209" s="35" t="str">
        <f aca="false">IF(B209="","",ROUND(B209/(1-IMPOSTOS-C209-TAXA_6X),2))</f>
        <v/>
      </c>
      <c r="G209" s="35" t="str">
        <f aca="false">IF(B209="","",ROUND(B209/(1-IMPOSTOS-C209-TAXA_10X),2))</f>
        <v/>
      </c>
    </row>
    <row r="210" customFormat="false" ht="15.75" hidden="false" customHeight="true" outlineLevel="0" collapsed="false">
      <c r="A210" s="34" t="n">
        <f aca="false">PRODUTOS!A210</f>
        <v>0</v>
      </c>
      <c r="B210" s="35" t="str">
        <f aca="false">IF(PRODUTOS!E210="","",PRODUTOS!E210*(1-ICMS_CREDITO))</f>
        <v/>
      </c>
      <c r="C210" s="34" t="n">
        <f aca="false">IF(PRODUTOS!F210="",MARGEM_PADRAO,PRODUTOS!F210)</f>
        <v>0.3</v>
      </c>
      <c r="D210" s="35" t="str">
        <f aca="false">IF(B210="","",ROUND(B210/(1-IMPOSTOS-C210),2))</f>
        <v/>
      </c>
      <c r="E210" s="35" t="str">
        <f aca="false">IF(B210="","",ROUND(B210/(1-IMPOSTOS-C210-TAXA_3X),2))</f>
        <v/>
      </c>
      <c r="F210" s="35" t="str">
        <f aca="false">IF(B210="","",ROUND(B210/(1-IMPOSTOS-C210-TAXA_6X),2))</f>
        <v/>
      </c>
      <c r="G210" s="35" t="str">
        <f aca="false">IF(B210="","",ROUND(B210/(1-IMPOSTOS-C210-TAXA_10X),2))</f>
        <v/>
      </c>
    </row>
    <row r="211" customFormat="false" ht="15.75" hidden="false" customHeight="true" outlineLevel="0" collapsed="false">
      <c r="A211" s="34" t="n">
        <f aca="false">PRODUTOS!A211</f>
        <v>0</v>
      </c>
      <c r="B211" s="35" t="str">
        <f aca="false">IF(PRODUTOS!E211="","",PRODUTOS!E211*(1-ICMS_CREDITO))</f>
        <v/>
      </c>
      <c r="C211" s="34" t="n">
        <f aca="false">IF(PRODUTOS!F211="",MARGEM_PADRAO,PRODUTOS!F211)</f>
        <v>0.3</v>
      </c>
      <c r="D211" s="35" t="str">
        <f aca="false">IF(B211="","",ROUND(B211/(1-IMPOSTOS-C211),2))</f>
        <v/>
      </c>
      <c r="E211" s="35" t="str">
        <f aca="false">IF(B211="","",ROUND(B211/(1-IMPOSTOS-C211-TAXA_3X),2))</f>
        <v/>
      </c>
      <c r="F211" s="35" t="str">
        <f aca="false">IF(B211="","",ROUND(B211/(1-IMPOSTOS-C211-TAXA_6X),2))</f>
        <v/>
      </c>
      <c r="G211" s="35" t="str">
        <f aca="false">IF(B211="","",ROUND(B211/(1-IMPOSTOS-C211-TAXA_10X),2))</f>
        <v/>
      </c>
    </row>
    <row r="212" customFormat="false" ht="15.75" hidden="false" customHeight="true" outlineLevel="0" collapsed="false">
      <c r="A212" s="34" t="n">
        <f aca="false">PRODUTOS!A212</f>
        <v>0</v>
      </c>
      <c r="B212" s="35" t="str">
        <f aca="false">IF(PRODUTOS!E212="","",PRODUTOS!E212*(1-ICMS_CREDITO))</f>
        <v/>
      </c>
      <c r="C212" s="34" t="n">
        <f aca="false">IF(PRODUTOS!F212="",MARGEM_PADRAO,PRODUTOS!F212)</f>
        <v>0.3</v>
      </c>
      <c r="D212" s="35" t="str">
        <f aca="false">IF(B212="","",ROUND(B212/(1-IMPOSTOS-C212),2))</f>
        <v/>
      </c>
      <c r="E212" s="35" t="str">
        <f aca="false">IF(B212="","",ROUND(B212/(1-IMPOSTOS-C212-TAXA_3X),2))</f>
        <v/>
      </c>
      <c r="F212" s="35" t="str">
        <f aca="false">IF(B212="","",ROUND(B212/(1-IMPOSTOS-C212-TAXA_6X),2))</f>
        <v/>
      </c>
      <c r="G212" s="35" t="str">
        <f aca="false">IF(B212="","",ROUND(B212/(1-IMPOSTOS-C212-TAXA_10X),2))</f>
        <v/>
      </c>
    </row>
    <row r="213" customFormat="false" ht="15.75" hidden="false" customHeight="true" outlineLevel="0" collapsed="false">
      <c r="A213" s="34" t="n">
        <f aca="false">PRODUTOS!A213</f>
        <v>0</v>
      </c>
      <c r="B213" s="35" t="str">
        <f aca="false">IF(PRODUTOS!E213="","",PRODUTOS!E213*(1-ICMS_CREDITO))</f>
        <v/>
      </c>
      <c r="C213" s="34" t="n">
        <f aca="false">IF(PRODUTOS!F213="",MARGEM_PADRAO,PRODUTOS!F213)</f>
        <v>0.3</v>
      </c>
      <c r="D213" s="35" t="str">
        <f aca="false">IF(B213="","",ROUND(B213/(1-IMPOSTOS-C213),2))</f>
        <v/>
      </c>
      <c r="E213" s="35" t="str">
        <f aca="false">IF(B213="","",ROUND(B213/(1-IMPOSTOS-C213-TAXA_3X),2))</f>
        <v/>
      </c>
      <c r="F213" s="35" t="str">
        <f aca="false">IF(B213="","",ROUND(B213/(1-IMPOSTOS-C213-TAXA_6X),2))</f>
        <v/>
      </c>
      <c r="G213" s="35" t="str">
        <f aca="false">IF(B213="","",ROUND(B213/(1-IMPOSTOS-C213-TAXA_10X),2))</f>
        <v/>
      </c>
    </row>
    <row r="214" customFormat="false" ht="15.75" hidden="false" customHeight="true" outlineLevel="0" collapsed="false">
      <c r="A214" s="34" t="n">
        <f aca="false">PRODUTOS!A214</f>
        <v>0</v>
      </c>
      <c r="B214" s="35" t="str">
        <f aca="false">IF(PRODUTOS!E214="","",PRODUTOS!E214*(1-ICMS_CREDITO))</f>
        <v/>
      </c>
      <c r="C214" s="34" t="n">
        <f aca="false">IF(PRODUTOS!F214="",MARGEM_PADRAO,PRODUTOS!F214)</f>
        <v>0.3</v>
      </c>
      <c r="D214" s="35" t="str">
        <f aca="false">IF(B214="","",ROUND(B214/(1-IMPOSTOS-C214),2))</f>
        <v/>
      </c>
      <c r="E214" s="35" t="str">
        <f aca="false">IF(B214="","",ROUND(B214/(1-IMPOSTOS-C214-TAXA_3X),2))</f>
        <v/>
      </c>
      <c r="F214" s="35" t="str">
        <f aca="false">IF(B214="","",ROUND(B214/(1-IMPOSTOS-C214-TAXA_6X),2))</f>
        <v/>
      </c>
      <c r="G214" s="35" t="str">
        <f aca="false">IF(B214="","",ROUND(B214/(1-IMPOSTOS-C214-TAXA_10X),2))</f>
        <v/>
      </c>
    </row>
    <row r="215" customFormat="false" ht="15.75" hidden="false" customHeight="true" outlineLevel="0" collapsed="false">
      <c r="A215" s="34" t="n">
        <f aca="false">PRODUTOS!A215</f>
        <v>0</v>
      </c>
      <c r="B215" s="35" t="str">
        <f aca="false">IF(PRODUTOS!E215="","",PRODUTOS!E215*(1-ICMS_CREDITO))</f>
        <v/>
      </c>
      <c r="C215" s="34" t="n">
        <f aca="false">IF(PRODUTOS!F215="",MARGEM_PADRAO,PRODUTOS!F215)</f>
        <v>0.3</v>
      </c>
      <c r="D215" s="35" t="str">
        <f aca="false">IF(B215="","",ROUND(B215/(1-IMPOSTOS-C215),2))</f>
        <v/>
      </c>
      <c r="E215" s="35" t="str">
        <f aca="false">IF(B215="","",ROUND(B215/(1-IMPOSTOS-C215-TAXA_3X),2))</f>
        <v/>
      </c>
      <c r="F215" s="35" t="str">
        <f aca="false">IF(B215="","",ROUND(B215/(1-IMPOSTOS-C215-TAXA_6X),2))</f>
        <v/>
      </c>
      <c r="G215" s="35" t="str">
        <f aca="false">IF(B215="","",ROUND(B215/(1-IMPOSTOS-C215-TAXA_10X),2))</f>
        <v/>
      </c>
    </row>
    <row r="216" customFormat="false" ht="15.75" hidden="false" customHeight="true" outlineLevel="0" collapsed="false">
      <c r="A216" s="34" t="n">
        <f aca="false">PRODUTOS!A216</f>
        <v>0</v>
      </c>
      <c r="B216" s="35" t="str">
        <f aca="false">IF(PRODUTOS!E216="","",PRODUTOS!E216*(1-ICMS_CREDITO))</f>
        <v/>
      </c>
      <c r="C216" s="34" t="n">
        <f aca="false">IF(PRODUTOS!F216="",MARGEM_PADRAO,PRODUTOS!F216)</f>
        <v>0.3</v>
      </c>
      <c r="D216" s="35" t="str">
        <f aca="false">IF(B216="","",ROUND(B216/(1-IMPOSTOS-C216),2))</f>
        <v/>
      </c>
      <c r="E216" s="35" t="str">
        <f aca="false">IF(B216="","",ROUND(B216/(1-IMPOSTOS-C216-TAXA_3X),2))</f>
        <v/>
      </c>
      <c r="F216" s="35" t="str">
        <f aca="false">IF(B216="","",ROUND(B216/(1-IMPOSTOS-C216-TAXA_6X),2))</f>
        <v/>
      </c>
      <c r="G216" s="35" t="str">
        <f aca="false">IF(B216="","",ROUND(B216/(1-IMPOSTOS-C216-TAXA_10X),2))</f>
        <v/>
      </c>
    </row>
    <row r="217" customFormat="false" ht="15.75" hidden="false" customHeight="true" outlineLevel="0" collapsed="false">
      <c r="A217" s="34" t="n">
        <f aca="false">PRODUTOS!A217</f>
        <v>0</v>
      </c>
      <c r="B217" s="35" t="str">
        <f aca="false">IF(PRODUTOS!E217="","",PRODUTOS!E217*(1-ICMS_CREDITO))</f>
        <v/>
      </c>
      <c r="C217" s="34" t="n">
        <f aca="false">IF(PRODUTOS!F217="",MARGEM_PADRAO,PRODUTOS!F217)</f>
        <v>0.3</v>
      </c>
      <c r="D217" s="35" t="str">
        <f aca="false">IF(B217="","",ROUND(B217/(1-IMPOSTOS-C217),2))</f>
        <v/>
      </c>
      <c r="E217" s="35" t="str">
        <f aca="false">IF(B217="","",ROUND(B217/(1-IMPOSTOS-C217-TAXA_3X),2))</f>
        <v/>
      </c>
      <c r="F217" s="35" t="str">
        <f aca="false">IF(B217="","",ROUND(B217/(1-IMPOSTOS-C217-TAXA_6X),2))</f>
        <v/>
      </c>
      <c r="G217" s="35" t="str">
        <f aca="false">IF(B217="","",ROUND(B217/(1-IMPOSTOS-C217-TAXA_10X),2))</f>
        <v/>
      </c>
    </row>
    <row r="218" customFormat="false" ht="15.75" hidden="false" customHeight="true" outlineLevel="0" collapsed="false">
      <c r="A218" s="34" t="n">
        <f aca="false">PRODUTOS!A218</f>
        <v>0</v>
      </c>
      <c r="B218" s="35" t="str">
        <f aca="false">IF(PRODUTOS!E218="","",PRODUTOS!E218*(1-ICMS_CREDITO))</f>
        <v/>
      </c>
      <c r="C218" s="34" t="n">
        <f aca="false">IF(PRODUTOS!F218="",MARGEM_PADRAO,PRODUTOS!F218)</f>
        <v>0.3</v>
      </c>
      <c r="D218" s="35" t="str">
        <f aca="false">IF(B218="","",ROUND(B218/(1-IMPOSTOS-C218),2))</f>
        <v/>
      </c>
      <c r="E218" s="35" t="str">
        <f aca="false">IF(B218="","",ROUND(B218/(1-IMPOSTOS-C218-TAXA_3X),2))</f>
        <v/>
      </c>
      <c r="F218" s="35" t="str">
        <f aca="false">IF(B218="","",ROUND(B218/(1-IMPOSTOS-C218-TAXA_6X),2))</f>
        <v/>
      </c>
      <c r="G218" s="35" t="str">
        <f aca="false">IF(B218="","",ROUND(B218/(1-IMPOSTOS-C218-TAXA_10X),2))</f>
        <v/>
      </c>
    </row>
    <row r="219" customFormat="false" ht="15.75" hidden="false" customHeight="true" outlineLevel="0" collapsed="false">
      <c r="A219" s="34" t="n">
        <f aca="false">PRODUTOS!A219</f>
        <v>0</v>
      </c>
      <c r="B219" s="35" t="str">
        <f aca="false">IF(PRODUTOS!E219="","",PRODUTOS!E219*(1-ICMS_CREDITO))</f>
        <v/>
      </c>
      <c r="C219" s="34" t="n">
        <f aca="false">IF(PRODUTOS!F219="",MARGEM_PADRAO,PRODUTOS!F219)</f>
        <v>0.3</v>
      </c>
      <c r="D219" s="35" t="str">
        <f aca="false">IF(B219="","",ROUND(B219/(1-IMPOSTOS-C219),2))</f>
        <v/>
      </c>
      <c r="E219" s="35" t="str">
        <f aca="false">IF(B219="","",ROUND(B219/(1-IMPOSTOS-C219-TAXA_3X),2))</f>
        <v/>
      </c>
      <c r="F219" s="35" t="str">
        <f aca="false">IF(B219="","",ROUND(B219/(1-IMPOSTOS-C219-TAXA_6X),2))</f>
        <v/>
      </c>
      <c r="G219" s="35" t="str">
        <f aca="false">IF(B219="","",ROUND(B219/(1-IMPOSTOS-C219-TAXA_10X),2))</f>
        <v/>
      </c>
    </row>
    <row r="220" customFormat="false" ht="15.75" hidden="false" customHeight="true" outlineLevel="0" collapsed="false">
      <c r="A220" s="34" t="n">
        <f aca="false">PRODUTOS!A220</f>
        <v>0</v>
      </c>
      <c r="B220" s="35" t="str">
        <f aca="false">IF(PRODUTOS!E220="","",PRODUTOS!E220*(1-ICMS_CREDITO))</f>
        <v/>
      </c>
      <c r="C220" s="34" t="n">
        <f aca="false">IF(PRODUTOS!F220="",MARGEM_PADRAO,PRODUTOS!F220)</f>
        <v>0.3</v>
      </c>
      <c r="D220" s="35" t="str">
        <f aca="false">IF(B220="","",ROUND(B220/(1-IMPOSTOS-C220),2))</f>
        <v/>
      </c>
      <c r="E220" s="35" t="str">
        <f aca="false">IF(B220="","",ROUND(B220/(1-IMPOSTOS-C220-TAXA_3X),2))</f>
        <v/>
      </c>
      <c r="F220" s="35" t="str">
        <f aca="false">IF(B220="","",ROUND(B220/(1-IMPOSTOS-C220-TAXA_6X),2))</f>
        <v/>
      </c>
      <c r="G220" s="35" t="str">
        <f aca="false">IF(B220="","",ROUND(B220/(1-IMPOSTOS-C220-TAXA_10X),2))</f>
        <v/>
      </c>
    </row>
    <row r="221" customFormat="false" ht="15.75" hidden="false" customHeight="true" outlineLevel="0" collapsed="false">
      <c r="A221" s="34" t="n">
        <f aca="false">PRODUTOS!A221</f>
        <v>0</v>
      </c>
      <c r="B221" s="35" t="str">
        <f aca="false">IF(PRODUTOS!E221="","",PRODUTOS!E221*(1-ICMS_CREDITO))</f>
        <v/>
      </c>
      <c r="C221" s="34" t="n">
        <f aca="false">IF(PRODUTOS!F221="",MARGEM_PADRAO,PRODUTOS!F221)</f>
        <v>0.3</v>
      </c>
      <c r="D221" s="35" t="str">
        <f aca="false">IF(B221="","",ROUND(B221/(1-IMPOSTOS-C221),2))</f>
        <v/>
      </c>
      <c r="E221" s="35" t="str">
        <f aca="false">IF(B221="","",ROUND(B221/(1-IMPOSTOS-C221-TAXA_3X),2))</f>
        <v/>
      </c>
      <c r="F221" s="35" t="str">
        <f aca="false">IF(B221="","",ROUND(B221/(1-IMPOSTOS-C221-TAXA_6X),2))</f>
        <v/>
      </c>
      <c r="G221" s="35" t="str">
        <f aca="false">IF(B221="","",ROUND(B221/(1-IMPOSTOS-C221-TAXA_10X),2))</f>
        <v/>
      </c>
    </row>
    <row r="222" customFormat="false" ht="15.75" hidden="false" customHeight="true" outlineLevel="0" collapsed="false">
      <c r="A222" s="34" t="n">
        <f aca="false">PRODUTOS!A222</f>
        <v>0</v>
      </c>
      <c r="B222" s="35" t="str">
        <f aca="false">IF(PRODUTOS!E222="","",PRODUTOS!E222*(1-ICMS_CREDITO))</f>
        <v/>
      </c>
      <c r="C222" s="34" t="n">
        <f aca="false">IF(PRODUTOS!F222="",MARGEM_PADRAO,PRODUTOS!F222)</f>
        <v>0.3</v>
      </c>
      <c r="D222" s="35" t="str">
        <f aca="false">IF(B222="","",ROUND(B222/(1-IMPOSTOS-C222),2))</f>
        <v/>
      </c>
      <c r="E222" s="35" t="str">
        <f aca="false">IF(B222="","",ROUND(B222/(1-IMPOSTOS-C222-TAXA_3X),2))</f>
        <v/>
      </c>
      <c r="F222" s="35" t="str">
        <f aca="false">IF(B222="","",ROUND(B222/(1-IMPOSTOS-C222-TAXA_6X),2))</f>
        <v/>
      </c>
      <c r="G222" s="35" t="str">
        <f aca="false">IF(B222="","",ROUND(B222/(1-IMPOSTOS-C222-TAXA_10X),2))</f>
        <v/>
      </c>
    </row>
    <row r="223" customFormat="false" ht="15.75" hidden="false" customHeight="true" outlineLevel="0" collapsed="false">
      <c r="A223" s="34" t="n">
        <f aca="false">PRODUTOS!A223</f>
        <v>0</v>
      </c>
      <c r="B223" s="35" t="str">
        <f aca="false">IF(PRODUTOS!E223="","",PRODUTOS!E223*(1-ICMS_CREDITO))</f>
        <v/>
      </c>
      <c r="C223" s="34" t="n">
        <f aca="false">IF(PRODUTOS!F223="",MARGEM_PADRAO,PRODUTOS!F223)</f>
        <v>0.3</v>
      </c>
      <c r="D223" s="35" t="str">
        <f aca="false">IF(B223="","",ROUND(B223/(1-IMPOSTOS-C223),2))</f>
        <v/>
      </c>
      <c r="E223" s="35" t="str">
        <f aca="false">IF(B223="","",ROUND(B223/(1-IMPOSTOS-C223-TAXA_3X),2))</f>
        <v/>
      </c>
      <c r="F223" s="35" t="str">
        <f aca="false">IF(B223="","",ROUND(B223/(1-IMPOSTOS-C223-TAXA_6X),2))</f>
        <v/>
      </c>
      <c r="G223" s="35" t="str">
        <f aca="false">IF(B223="","",ROUND(B223/(1-IMPOSTOS-C223-TAXA_10X),2))</f>
        <v/>
      </c>
    </row>
    <row r="224" customFormat="false" ht="15.75" hidden="false" customHeight="true" outlineLevel="0" collapsed="false">
      <c r="A224" s="34" t="n">
        <f aca="false">PRODUTOS!A224</f>
        <v>0</v>
      </c>
      <c r="B224" s="35" t="str">
        <f aca="false">IF(PRODUTOS!E224="","",PRODUTOS!E224*(1-ICMS_CREDITO))</f>
        <v/>
      </c>
      <c r="C224" s="34" t="n">
        <f aca="false">IF(PRODUTOS!F224="",MARGEM_PADRAO,PRODUTOS!F224)</f>
        <v>0.3</v>
      </c>
      <c r="D224" s="35" t="str">
        <f aca="false">IF(B224="","",ROUND(B224/(1-IMPOSTOS-C224),2))</f>
        <v/>
      </c>
      <c r="E224" s="35" t="str">
        <f aca="false">IF(B224="","",ROUND(B224/(1-IMPOSTOS-C224-TAXA_3X),2))</f>
        <v/>
      </c>
      <c r="F224" s="35" t="str">
        <f aca="false">IF(B224="","",ROUND(B224/(1-IMPOSTOS-C224-TAXA_6X),2))</f>
        <v/>
      </c>
      <c r="G224" s="35" t="str">
        <f aca="false">IF(B224="","",ROUND(B224/(1-IMPOSTOS-C224-TAXA_10X),2))</f>
        <v/>
      </c>
    </row>
    <row r="225" customFormat="false" ht="15.75" hidden="false" customHeight="true" outlineLevel="0" collapsed="false">
      <c r="A225" s="34" t="n">
        <f aca="false">PRODUTOS!A225</f>
        <v>0</v>
      </c>
      <c r="B225" s="35" t="str">
        <f aca="false">IF(PRODUTOS!E225="","",PRODUTOS!E225*(1-ICMS_CREDITO))</f>
        <v/>
      </c>
      <c r="C225" s="34" t="n">
        <f aca="false">IF(PRODUTOS!F225="",MARGEM_PADRAO,PRODUTOS!F225)</f>
        <v>0.3</v>
      </c>
      <c r="D225" s="35" t="str">
        <f aca="false">IF(B225="","",ROUND(B225/(1-IMPOSTOS-C225),2))</f>
        <v/>
      </c>
      <c r="E225" s="35" t="str">
        <f aca="false">IF(B225="","",ROUND(B225/(1-IMPOSTOS-C225-TAXA_3X),2))</f>
        <v/>
      </c>
      <c r="F225" s="35" t="str">
        <f aca="false">IF(B225="","",ROUND(B225/(1-IMPOSTOS-C225-TAXA_6X),2))</f>
        <v/>
      </c>
      <c r="G225" s="35" t="str">
        <f aca="false">IF(B225="","",ROUND(B225/(1-IMPOSTOS-C225-TAXA_10X),2))</f>
        <v/>
      </c>
    </row>
    <row r="226" customFormat="false" ht="15.75" hidden="false" customHeight="true" outlineLevel="0" collapsed="false">
      <c r="A226" s="34" t="n">
        <f aca="false">PRODUTOS!A226</f>
        <v>0</v>
      </c>
      <c r="B226" s="35" t="str">
        <f aca="false">IF(PRODUTOS!E226="","",PRODUTOS!E226*(1-ICMS_CREDITO))</f>
        <v/>
      </c>
      <c r="C226" s="34" t="n">
        <f aca="false">IF(PRODUTOS!F226="",MARGEM_PADRAO,PRODUTOS!F226)</f>
        <v>0.3</v>
      </c>
      <c r="D226" s="35" t="str">
        <f aca="false">IF(B226="","",ROUND(B226/(1-IMPOSTOS-C226),2))</f>
        <v/>
      </c>
      <c r="E226" s="35" t="str">
        <f aca="false">IF(B226="","",ROUND(B226/(1-IMPOSTOS-C226-TAXA_3X),2))</f>
        <v/>
      </c>
      <c r="F226" s="35" t="str">
        <f aca="false">IF(B226="","",ROUND(B226/(1-IMPOSTOS-C226-TAXA_6X),2))</f>
        <v/>
      </c>
      <c r="G226" s="35" t="str">
        <f aca="false">IF(B226="","",ROUND(B226/(1-IMPOSTOS-C226-TAXA_10X),2))</f>
        <v/>
      </c>
    </row>
    <row r="227" customFormat="false" ht="15.75" hidden="false" customHeight="true" outlineLevel="0" collapsed="false">
      <c r="A227" s="34" t="n">
        <f aca="false">PRODUTOS!A227</f>
        <v>0</v>
      </c>
      <c r="B227" s="35" t="str">
        <f aca="false">IF(PRODUTOS!E227="","",PRODUTOS!E227*(1-ICMS_CREDITO))</f>
        <v/>
      </c>
      <c r="C227" s="34" t="n">
        <f aca="false">IF(PRODUTOS!F227="",MARGEM_PADRAO,PRODUTOS!F227)</f>
        <v>0.3</v>
      </c>
      <c r="D227" s="35" t="str">
        <f aca="false">IF(B227="","",ROUND(B227/(1-IMPOSTOS-C227),2))</f>
        <v/>
      </c>
      <c r="E227" s="35" t="str">
        <f aca="false">IF(B227="","",ROUND(B227/(1-IMPOSTOS-C227-TAXA_3X),2))</f>
        <v/>
      </c>
      <c r="F227" s="35" t="str">
        <f aca="false">IF(B227="","",ROUND(B227/(1-IMPOSTOS-C227-TAXA_6X),2))</f>
        <v/>
      </c>
      <c r="G227" s="35" t="str">
        <f aca="false">IF(B227="","",ROUND(B227/(1-IMPOSTOS-C227-TAXA_10X),2))</f>
        <v/>
      </c>
    </row>
    <row r="228" customFormat="false" ht="15.75" hidden="false" customHeight="true" outlineLevel="0" collapsed="false">
      <c r="A228" s="34" t="n">
        <f aca="false">PRODUTOS!A228</f>
        <v>0</v>
      </c>
      <c r="B228" s="35" t="str">
        <f aca="false">IF(PRODUTOS!E228="","",PRODUTOS!E228*(1-ICMS_CREDITO))</f>
        <v/>
      </c>
      <c r="C228" s="34" t="n">
        <f aca="false">IF(PRODUTOS!F228="",MARGEM_PADRAO,PRODUTOS!F228)</f>
        <v>0.3</v>
      </c>
      <c r="D228" s="35" t="str">
        <f aca="false">IF(B228="","",ROUND(B228/(1-IMPOSTOS-C228),2))</f>
        <v/>
      </c>
      <c r="E228" s="35" t="str">
        <f aca="false">IF(B228="","",ROUND(B228/(1-IMPOSTOS-C228-TAXA_3X),2))</f>
        <v/>
      </c>
      <c r="F228" s="35" t="str">
        <f aca="false">IF(B228="","",ROUND(B228/(1-IMPOSTOS-C228-TAXA_6X),2))</f>
        <v/>
      </c>
      <c r="G228" s="35" t="str">
        <f aca="false">IF(B228="","",ROUND(B228/(1-IMPOSTOS-C228-TAXA_10X),2))</f>
        <v/>
      </c>
    </row>
    <row r="229" customFormat="false" ht="15.75" hidden="false" customHeight="true" outlineLevel="0" collapsed="false">
      <c r="A229" s="34" t="n">
        <f aca="false">PRODUTOS!A229</f>
        <v>0</v>
      </c>
      <c r="B229" s="35" t="str">
        <f aca="false">IF(PRODUTOS!E229="","",PRODUTOS!E229*(1-ICMS_CREDITO))</f>
        <v/>
      </c>
      <c r="C229" s="34" t="n">
        <f aca="false">IF(PRODUTOS!F229="",MARGEM_PADRAO,PRODUTOS!F229)</f>
        <v>0.3</v>
      </c>
      <c r="D229" s="35" t="str">
        <f aca="false">IF(B229="","",ROUND(B229/(1-IMPOSTOS-C229),2))</f>
        <v/>
      </c>
      <c r="E229" s="35" t="str">
        <f aca="false">IF(B229="","",ROUND(B229/(1-IMPOSTOS-C229-TAXA_3X),2))</f>
        <v/>
      </c>
      <c r="F229" s="35" t="str">
        <f aca="false">IF(B229="","",ROUND(B229/(1-IMPOSTOS-C229-TAXA_6X),2))</f>
        <v/>
      </c>
      <c r="G229" s="35" t="str">
        <f aca="false">IF(B229="","",ROUND(B229/(1-IMPOSTOS-C229-TAXA_10X),2))</f>
        <v/>
      </c>
    </row>
    <row r="230" customFormat="false" ht="15.75" hidden="false" customHeight="true" outlineLevel="0" collapsed="false">
      <c r="A230" s="34" t="n">
        <f aca="false">PRODUTOS!A230</f>
        <v>0</v>
      </c>
      <c r="B230" s="35" t="str">
        <f aca="false">IF(PRODUTOS!E230="","",PRODUTOS!E230*(1-ICMS_CREDITO))</f>
        <v/>
      </c>
      <c r="C230" s="34" t="n">
        <f aca="false">IF(PRODUTOS!F230="",MARGEM_PADRAO,PRODUTOS!F230)</f>
        <v>0.3</v>
      </c>
      <c r="D230" s="35" t="str">
        <f aca="false">IF(B230="","",ROUND(B230/(1-IMPOSTOS-C230),2))</f>
        <v/>
      </c>
      <c r="E230" s="35" t="str">
        <f aca="false">IF(B230="","",ROUND(B230/(1-IMPOSTOS-C230-TAXA_3X),2))</f>
        <v/>
      </c>
      <c r="F230" s="35" t="str">
        <f aca="false">IF(B230="","",ROUND(B230/(1-IMPOSTOS-C230-TAXA_6X),2))</f>
        <v/>
      </c>
      <c r="G230" s="35" t="str">
        <f aca="false">IF(B230="","",ROUND(B230/(1-IMPOSTOS-C230-TAXA_10X),2))</f>
        <v/>
      </c>
    </row>
    <row r="231" customFormat="false" ht="15.75" hidden="false" customHeight="true" outlineLevel="0" collapsed="false">
      <c r="A231" s="34" t="n">
        <f aca="false">PRODUTOS!A231</f>
        <v>0</v>
      </c>
      <c r="B231" s="35" t="str">
        <f aca="false">IF(PRODUTOS!E231="","",PRODUTOS!E231*(1-ICMS_CREDITO))</f>
        <v/>
      </c>
      <c r="C231" s="34" t="n">
        <f aca="false">IF(PRODUTOS!F231="",MARGEM_PADRAO,PRODUTOS!F231)</f>
        <v>0.3</v>
      </c>
      <c r="D231" s="35" t="str">
        <f aca="false">IF(B231="","",ROUND(B231/(1-IMPOSTOS-C231),2))</f>
        <v/>
      </c>
      <c r="E231" s="35" t="str">
        <f aca="false">IF(B231="","",ROUND(B231/(1-IMPOSTOS-C231-TAXA_3X),2))</f>
        <v/>
      </c>
      <c r="F231" s="35" t="str">
        <f aca="false">IF(B231="","",ROUND(B231/(1-IMPOSTOS-C231-TAXA_6X),2))</f>
        <v/>
      </c>
      <c r="G231" s="35" t="str">
        <f aca="false">IF(B231="","",ROUND(B231/(1-IMPOSTOS-C231-TAXA_10X),2))</f>
        <v/>
      </c>
    </row>
    <row r="232" customFormat="false" ht="15.75" hidden="false" customHeight="true" outlineLevel="0" collapsed="false">
      <c r="A232" s="34" t="n">
        <f aca="false">PRODUTOS!A232</f>
        <v>0</v>
      </c>
      <c r="B232" s="35" t="str">
        <f aca="false">IF(PRODUTOS!E232="","",PRODUTOS!E232*(1-ICMS_CREDITO))</f>
        <v/>
      </c>
      <c r="C232" s="34" t="n">
        <f aca="false">IF(PRODUTOS!F232="",MARGEM_PADRAO,PRODUTOS!F232)</f>
        <v>0.3</v>
      </c>
      <c r="D232" s="35" t="str">
        <f aca="false">IF(B232="","",ROUND(B232/(1-IMPOSTOS-C232),2))</f>
        <v/>
      </c>
      <c r="E232" s="35" t="str">
        <f aca="false">IF(B232="","",ROUND(B232/(1-IMPOSTOS-C232-TAXA_3X),2))</f>
        <v/>
      </c>
      <c r="F232" s="35" t="str">
        <f aca="false">IF(B232="","",ROUND(B232/(1-IMPOSTOS-C232-TAXA_6X),2))</f>
        <v/>
      </c>
      <c r="G232" s="35" t="str">
        <f aca="false">IF(B232="","",ROUND(B232/(1-IMPOSTOS-C232-TAXA_10X),2))</f>
        <v/>
      </c>
    </row>
    <row r="233" customFormat="false" ht="15.75" hidden="false" customHeight="true" outlineLevel="0" collapsed="false">
      <c r="A233" s="34" t="n">
        <f aca="false">PRODUTOS!A233</f>
        <v>0</v>
      </c>
      <c r="B233" s="35" t="str">
        <f aca="false">IF(PRODUTOS!E233="","",PRODUTOS!E233*(1-ICMS_CREDITO))</f>
        <v/>
      </c>
      <c r="C233" s="34" t="n">
        <f aca="false">IF(PRODUTOS!F233="",MARGEM_PADRAO,PRODUTOS!F233)</f>
        <v>0.3</v>
      </c>
      <c r="D233" s="35" t="str">
        <f aca="false">IF(B233="","",ROUND(B233/(1-IMPOSTOS-C233),2))</f>
        <v/>
      </c>
      <c r="E233" s="35" t="str">
        <f aca="false">IF(B233="","",ROUND(B233/(1-IMPOSTOS-C233-TAXA_3X),2))</f>
        <v/>
      </c>
      <c r="F233" s="35" t="str">
        <f aca="false">IF(B233="","",ROUND(B233/(1-IMPOSTOS-C233-TAXA_6X),2))</f>
        <v/>
      </c>
      <c r="G233" s="35" t="str">
        <f aca="false">IF(B233="","",ROUND(B233/(1-IMPOSTOS-C233-TAXA_10X),2))</f>
        <v/>
      </c>
    </row>
    <row r="234" customFormat="false" ht="15.75" hidden="false" customHeight="true" outlineLevel="0" collapsed="false">
      <c r="A234" s="34" t="n">
        <f aca="false">PRODUTOS!A234</f>
        <v>0</v>
      </c>
      <c r="B234" s="35" t="str">
        <f aca="false">IF(PRODUTOS!E234="","",PRODUTOS!E234*(1-ICMS_CREDITO))</f>
        <v/>
      </c>
      <c r="C234" s="34" t="n">
        <f aca="false">IF(PRODUTOS!F234="",MARGEM_PADRAO,PRODUTOS!F234)</f>
        <v>0.3</v>
      </c>
      <c r="D234" s="35" t="str">
        <f aca="false">IF(B234="","",ROUND(B234/(1-IMPOSTOS-C234),2))</f>
        <v/>
      </c>
      <c r="E234" s="35" t="str">
        <f aca="false">IF(B234="","",ROUND(B234/(1-IMPOSTOS-C234-TAXA_3X),2))</f>
        <v/>
      </c>
      <c r="F234" s="35" t="str">
        <f aca="false">IF(B234="","",ROUND(B234/(1-IMPOSTOS-C234-TAXA_6X),2))</f>
        <v/>
      </c>
      <c r="G234" s="35" t="str">
        <f aca="false">IF(B234="","",ROUND(B234/(1-IMPOSTOS-C234-TAXA_10X),2))</f>
        <v/>
      </c>
    </row>
    <row r="235" customFormat="false" ht="15.75" hidden="false" customHeight="true" outlineLevel="0" collapsed="false">
      <c r="A235" s="34" t="n">
        <f aca="false">PRODUTOS!A235</f>
        <v>0</v>
      </c>
      <c r="B235" s="35" t="str">
        <f aca="false">IF(PRODUTOS!E235="","",PRODUTOS!E235*(1-ICMS_CREDITO))</f>
        <v/>
      </c>
      <c r="C235" s="34" t="n">
        <f aca="false">IF(PRODUTOS!F235="",MARGEM_PADRAO,PRODUTOS!F235)</f>
        <v>0.3</v>
      </c>
      <c r="D235" s="35" t="str">
        <f aca="false">IF(B235="","",ROUND(B235/(1-IMPOSTOS-C235),2))</f>
        <v/>
      </c>
      <c r="E235" s="35" t="str">
        <f aca="false">IF(B235="","",ROUND(B235/(1-IMPOSTOS-C235-TAXA_3X),2))</f>
        <v/>
      </c>
      <c r="F235" s="35" t="str">
        <f aca="false">IF(B235="","",ROUND(B235/(1-IMPOSTOS-C235-TAXA_6X),2))</f>
        <v/>
      </c>
      <c r="G235" s="35" t="str">
        <f aca="false">IF(B235="","",ROUND(B235/(1-IMPOSTOS-C235-TAXA_10X),2))</f>
        <v/>
      </c>
    </row>
    <row r="236" customFormat="false" ht="15.75" hidden="false" customHeight="true" outlineLevel="0" collapsed="false">
      <c r="A236" s="34" t="n">
        <f aca="false">PRODUTOS!A236</f>
        <v>0</v>
      </c>
      <c r="B236" s="35" t="str">
        <f aca="false">IF(PRODUTOS!E236="","",PRODUTOS!E236*(1-ICMS_CREDITO))</f>
        <v/>
      </c>
      <c r="C236" s="34" t="n">
        <f aca="false">IF(PRODUTOS!F236="",MARGEM_PADRAO,PRODUTOS!F236)</f>
        <v>0.3</v>
      </c>
      <c r="D236" s="35" t="str">
        <f aca="false">IF(B236="","",ROUND(B236/(1-IMPOSTOS-C236),2))</f>
        <v/>
      </c>
      <c r="E236" s="35" t="str">
        <f aca="false">IF(B236="","",ROUND(B236/(1-IMPOSTOS-C236-TAXA_3X),2))</f>
        <v/>
      </c>
      <c r="F236" s="35" t="str">
        <f aca="false">IF(B236="","",ROUND(B236/(1-IMPOSTOS-C236-TAXA_6X),2))</f>
        <v/>
      </c>
      <c r="G236" s="35" t="str">
        <f aca="false">IF(B236="","",ROUND(B236/(1-IMPOSTOS-C236-TAXA_10X),2))</f>
        <v/>
      </c>
    </row>
    <row r="237" customFormat="false" ht="15.75" hidden="false" customHeight="true" outlineLevel="0" collapsed="false">
      <c r="A237" s="34" t="n">
        <f aca="false">PRODUTOS!A237</f>
        <v>0</v>
      </c>
      <c r="B237" s="35" t="str">
        <f aca="false">IF(PRODUTOS!E237="","",PRODUTOS!E237*(1-ICMS_CREDITO))</f>
        <v/>
      </c>
      <c r="C237" s="34" t="n">
        <f aca="false">IF(PRODUTOS!F237="",MARGEM_PADRAO,PRODUTOS!F237)</f>
        <v>0.3</v>
      </c>
      <c r="D237" s="35" t="str">
        <f aca="false">IF(B237="","",ROUND(B237/(1-IMPOSTOS-C237),2))</f>
        <v/>
      </c>
      <c r="E237" s="35" t="str">
        <f aca="false">IF(B237="","",ROUND(B237/(1-IMPOSTOS-C237-TAXA_3X),2))</f>
        <v/>
      </c>
      <c r="F237" s="35" t="str">
        <f aca="false">IF(B237="","",ROUND(B237/(1-IMPOSTOS-C237-TAXA_6X),2))</f>
        <v/>
      </c>
      <c r="G237" s="35" t="str">
        <f aca="false">IF(B237="","",ROUND(B237/(1-IMPOSTOS-C237-TAXA_10X),2))</f>
        <v/>
      </c>
    </row>
    <row r="238" customFormat="false" ht="15.75" hidden="false" customHeight="true" outlineLevel="0" collapsed="false">
      <c r="A238" s="34" t="n">
        <f aca="false">PRODUTOS!A238</f>
        <v>0</v>
      </c>
      <c r="B238" s="35" t="str">
        <f aca="false">IF(PRODUTOS!E238="","",PRODUTOS!E238*(1-ICMS_CREDITO))</f>
        <v/>
      </c>
      <c r="C238" s="34" t="n">
        <f aca="false">IF(PRODUTOS!F238="",MARGEM_PADRAO,PRODUTOS!F238)</f>
        <v>0.3</v>
      </c>
      <c r="D238" s="35" t="str">
        <f aca="false">IF(B238="","",ROUND(B238/(1-IMPOSTOS-C238),2))</f>
        <v/>
      </c>
      <c r="E238" s="35" t="str">
        <f aca="false">IF(B238="","",ROUND(B238/(1-IMPOSTOS-C238-TAXA_3X),2))</f>
        <v/>
      </c>
      <c r="F238" s="35" t="str">
        <f aca="false">IF(B238="","",ROUND(B238/(1-IMPOSTOS-C238-TAXA_6X),2))</f>
        <v/>
      </c>
      <c r="G238" s="35" t="str">
        <f aca="false">IF(B238="","",ROUND(B238/(1-IMPOSTOS-C238-TAXA_10X),2))</f>
        <v/>
      </c>
    </row>
    <row r="239" customFormat="false" ht="15.75" hidden="false" customHeight="true" outlineLevel="0" collapsed="false">
      <c r="A239" s="34" t="n">
        <f aca="false">PRODUTOS!A239</f>
        <v>0</v>
      </c>
      <c r="B239" s="35" t="str">
        <f aca="false">IF(PRODUTOS!E239="","",PRODUTOS!E239*(1-ICMS_CREDITO))</f>
        <v/>
      </c>
      <c r="C239" s="34" t="n">
        <f aca="false">IF(PRODUTOS!F239="",MARGEM_PADRAO,PRODUTOS!F239)</f>
        <v>0.3</v>
      </c>
      <c r="D239" s="35" t="str">
        <f aca="false">IF(B239="","",ROUND(B239/(1-IMPOSTOS-C239),2))</f>
        <v/>
      </c>
      <c r="E239" s="35" t="str">
        <f aca="false">IF(B239="","",ROUND(B239/(1-IMPOSTOS-C239-TAXA_3X),2))</f>
        <v/>
      </c>
      <c r="F239" s="35" t="str">
        <f aca="false">IF(B239="","",ROUND(B239/(1-IMPOSTOS-C239-TAXA_6X),2))</f>
        <v/>
      </c>
      <c r="G239" s="35" t="str">
        <f aca="false">IF(B239="","",ROUND(B239/(1-IMPOSTOS-C239-TAXA_10X),2))</f>
        <v/>
      </c>
    </row>
    <row r="240" customFormat="false" ht="15.75" hidden="false" customHeight="true" outlineLevel="0" collapsed="false">
      <c r="A240" s="34" t="n">
        <f aca="false">PRODUTOS!A240</f>
        <v>0</v>
      </c>
      <c r="B240" s="35" t="str">
        <f aca="false">IF(PRODUTOS!E240="","",PRODUTOS!E240*(1-ICMS_CREDITO))</f>
        <v/>
      </c>
      <c r="C240" s="34" t="n">
        <f aca="false">IF(PRODUTOS!F240="",MARGEM_PADRAO,PRODUTOS!F240)</f>
        <v>0.3</v>
      </c>
      <c r="D240" s="35" t="str">
        <f aca="false">IF(B240="","",ROUND(B240/(1-IMPOSTOS-C240),2))</f>
        <v/>
      </c>
      <c r="E240" s="35" t="str">
        <f aca="false">IF(B240="","",ROUND(B240/(1-IMPOSTOS-C240-TAXA_3X),2))</f>
        <v/>
      </c>
      <c r="F240" s="35" t="str">
        <f aca="false">IF(B240="","",ROUND(B240/(1-IMPOSTOS-C240-TAXA_6X),2))</f>
        <v/>
      </c>
      <c r="G240" s="35" t="str">
        <f aca="false">IF(B240="","",ROUND(B240/(1-IMPOSTOS-C240-TAXA_10X),2))</f>
        <v/>
      </c>
    </row>
    <row r="241" customFormat="false" ht="15.75" hidden="false" customHeight="true" outlineLevel="0" collapsed="false">
      <c r="A241" s="34" t="n">
        <f aca="false">PRODUTOS!A241</f>
        <v>0</v>
      </c>
      <c r="B241" s="35" t="str">
        <f aca="false">IF(PRODUTOS!E241="","",PRODUTOS!E241*(1-ICMS_CREDITO))</f>
        <v/>
      </c>
      <c r="C241" s="34" t="n">
        <f aca="false">IF(PRODUTOS!F241="",MARGEM_PADRAO,PRODUTOS!F241)</f>
        <v>0.3</v>
      </c>
      <c r="D241" s="35" t="str">
        <f aca="false">IF(B241="","",ROUND(B241/(1-IMPOSTOS-C241),2))</f>
        <v/>
      </c>
      <c r="E241" s="35" t="str">
        <f aca="false">IF(B241="","",ROUND(B241/(1-IMPOSTOS-C241-TAXA_3X),2))</f>
        <v/>
      </c>
      <c r="F241" s="35" t="str">
        <f aca="false">IF(B241="","",ROUND(B241/(1-IMPOSTOS-C241-TAXA_6X),2))</f>
        <v/>
      </c>
      <c r="G241" s="35" t="str">
        <f aca="false">IF(B241="","",ROUND(B241/(1-IMPOSTOS-C241-TAXA_10X),2))</f>
        <v/>
      </c>
    </row>
    <row r="242" customFormat="false" ht="15.75" hidden="false" customHeight="true" outlineLevel="0" collapsed="false">
      <c r="A242" s="34" t="n">
        <f aca="false">PRODUTOS!A242</f>
        <v>0</v>
      </c>
      <c r="B242" s="35" t="str">
        <f aca="false">IF(PRODUTOS!E242="","",PRODUTOS!E242*(1-ICMS_CREDITO))</f>
        <v/>
      </c>
      <c r="C242" s="34" t="n">
        <f aca="false">IF(PRODUTOS!F242="",MARGEM_PADRAO,PRODUTOS!F242)</f>
        <v>0.3</v>
      </c>
      <c r="D242" s="35" t="str">
        <f aca="false">IF(B242="","",ROUND(B242/(1-IMPOSTOS-C242),2))</f>
        <v/>
      </c>
      <c r="E242" s="35" t="str">
        <f aca="false">IF(B242="","",ROUND(B242/(1-IMPOSTOS-C242-TAXA_3X),2))</f>
        <v/>
      </c>
      <c r="F242" s="35" t="str">
        <f aca="false">IF(B242="","",ROUND(B242/(1-IMPOSTOS-C242-TAXA_6X),2))</f>
        <v/>
      </c>
      <c r="G242" s="35" t="str">
        <f aca="false">IF(B242="","",ROUND(B242/(1-IMPOSTOS-C242-TAXA_10X),2))</f>
        <v/>
      </c>
    </row>
    <row r="243" customFormat="false" ht="15.75" hidden="false" customHeight="true" outlineLevel="0" collapsed="false">
      <c r="A243" s="34" t="n">
        <f aca="false">PRODUTOS!A243</f>
        <v>0</v>
      </c>
      <c r="B243" s="35" t="str">
        <f aca="false">IF(PRODUTOS!E243="","",PRODUTOS!E243*(1-ICMS_CREDITO))</f>
        <v/>
      </c>
      <c r="C243" s="34" t="n">
        <f aca="false">IF(PRODUTOS!F243="",MARGEM_PADRAO,PRODUTOS!F243)</f>
        <v>0.3</v>
      </c>
      <c r="D243" s="35" t="str">
        <f aca="false">IF(B243="","",ROUND(B243/(1-IMPOSTOS-C243),2))</f>
        <v/>
      </c>
      <c r="E243" s="35" t="str">
        <f aca="false">IF(B243="","",ROUND(B243/(1-IMPOSTOS-C243-TAXA_3X),2))</f>
        <v/>
      </c>
      <c r="F243" s="35" t="str">
        <f aca="false">IF(B243="","",ROUND(B243/(1-IMPOSTOS-C243-TAXA_6X),2))</f>
        <v/>
      </c>
      <c r="G243" s="35" t="str">
        <f aca="false">IF(B243="","",ROUND(B243/(1-IMPOSTOS-C243-TAXA_10X),2))</f>
        <v/>
      </c>
    </row>
    <row r="244" customFormat="false" ht="15.75" hidden="false" customHeight="true" outlineLevel="0" collapsed="false">
      <c r="A244" s="34" t="n">
        <f aca="false">PRODUTOS!A244</f>
        <v>0</v>
      </c>
      <c r="B244" s="35" t="str">
        <f aca="false">IF(PRODUTOS!E244="","",PRODUTOS!E244*(1-ICMS_CREDITO))</f>
        <v/>
      </c>
      <c r="C244" s="34" t="n">
        <f aca="false">IF(PRODUTOS!F244="",MARGEM_PADRAO,PRODUTOS!F244)</f>
        <v>0.3</v>
      </c>
      <c r="D244" s="35" t="str">
        <f aca="false">IF(B244="","",ROUND(B244/(1-IMPOSTOS-C244),2))</f>
        <v/>
      </c>
      <c r="E244" s="35" t="str">
        <f aca="false">IF(B244="","",ROUND(B244/(1-IMPOSTOS-C244-TAXA_3X),2))</f>
        <v/>
      </c>
      <c r="F244" s="35" t="str">
        <f aca="false">IF(B244="","",ROUND(B244/(1-IMPOSTOS-C244-TAXA_6X),2))</f>
        <v/>
      </c>
      <c r="G244" s="35" t="str">
        <f aca="false">IF(B244="","",ROUND(B244/(1-IMPOSTOS-C244-TAXA_10X),2))</f>
        <v/>
      </c>
    </row>
    <row r="245" customFormat="false" ht="15.75" hidden="false" customHeight="true" outlineLevel="0" collapsed="false">
      <c r="A245" s="34" t="n">
        <f aca="false">PRODUTOS!A245</f>
        <v>0</v>
      </c>
      <c r="B245" s="35" t="str">
        <f aca="false">IF(PRODUTOS!E245="","",PRODUTOS!E245*(1-ICMS_CREDITO))</f>
        <v/>
      </c>
      <c r="C245" s="34" t="n">
        <f aca="false">IF(PRODUTOS!F245="",MARGEM_PADRAO,PRODUTOS!F245)</f>
        <v>0.3</v>
      </c>
      <c r="D245" s="35" t="str">
        <f aca="false">IF(B245="","",ROUND(B245/(1-IMPOSTOS-C245),2))</f>
        <v/>
      </c>
      <c r="E245" s="35" t="str">
        <f aca="false">IF(B245="","",ROUND(B245/(1-IMPOSTOS-C245-TAXA_3X),2))</f>
        <v/>
      </c>
      <c r="F245" s="35" t="str">
        <f aca="false">IF(B245="","",ROUND(B245/(1-IMPOSTOS-C245-TAXA_6X),2))</f>
        <v/>
      </c>
      <c r="G245" s="35" t="str">
        <f aca="false">IF(B245="","",ROUND(B245/(1-IMPOSTOS-C245-TAXA_10X),2))</f>
        <v/>
      </c>
    </row>
    <row r="246" customFormat="false" ht="15.75" hidden="false" customHeight="true" outlineLevel="0" collapsed="false">
      <c r="A246" s="34" t="n">
        <f aca="false">PRODUTOS!A246</f>
        <v>0</v>
      </c>
      <c r="B246" s="35" t="str">
        <f aca="false">IF(PRODUTOS!E246="","",PRODUTOS!E246*(1-ICMS_CREDITO))</f>
        <v/>
      </c>
      <c r="C246" s="34" t="n">
        <f aca="false">IF(PRODUTOS!F246="",MARGEM_PADRAO,PRODUTOS!F246)</f>
        <v>0.3</v>
      </c>
      <c r="D246" s="35" t="str">
        <f aca="false">IF(B246="","",ROUND(B246/(1-IMPOSTOS-C246),2))</f>
        <v/>
      </c>
      <c r="E246" s="35" t="str">
        <f aca="false">IF(B246="","",ROUND(B246/(1-IMPOSTOS-C246-TAXA_3X),2))</f>
        <v/>
      </c>
      <c r="F246" s="35" t="str">
        <f aca="false">IF(B246="","",ROUND(B246/(1-IMPOSTOS-C246-TAXA_6X),2))</f>
        <v/>
      </c>
      <c r="G246" s="35" t="str">
        <f aca="false">IF(B246="","",ROUND(B246/(1-IMPOSTOS-C246-TAXA_10X),2))</f>
        <v/>
      </c>
    </row>
    <row r="247" customFormat="false" ht="15.75" hidden="false" customHeight="true" outlineLevel="0" collapsed="false">
      <c r="A247" s="34" t="n">
        <f aca="false">PRODUTOS!A247</f>
        <v>0</v>
      </c>
      <c r="B247" s="35" t="str">
        <f aca="false">IF(PRODUTOS!E247="","",PRODUTOS!E247*(1-ICMS_CREDITO))</f>
        <v/>
      </c>
      <c r="C247" s="34" t="n">
        <f aca="false">IF(PRODUTOS!F247="",MARGEM_PADRAO,PRODUTOS!F247)</f>
        <v>0.3</v>
      </c>
      <c r="D247" s="35" t="str">
        <f aca="false">IF(B247="","",ROUND(B247/(1-IMPOSTOS-C247),2))</f>
        <v/>
      </c>
      <c r="E247" s="35" t="str">
        <f aca="false">IF(B247="","",ROUND(B247/(1-IMPOSTOS-C247-TAXA_3X),2))</f>
        <v/>
      </c>
      <c r="F247" s="35" t="str">
        <f aca="false">IF(B247="","",ROUND(B247/(1-IMPOSTOS-C247-TAXA_6X),2))</f>
        <v/>
      </c>
      <c r="G247" s="35" t="str">
        <f aca="false">IF(B247="","",ROUND(B247/(1-IMPOSTOS-C247-TAXA_10X),2))</f>
        <v/>
      </c>
    </row>
    <row r="248" customFormat="false" ht="15.75" hidden="false" customHeight="true" outlineLevel="0" collapsed="false">
      <c r="A248" s="34" t="n">
        <f aca="false">PRODUTOS!A248</f>
        <v>0</v>
      </c>
      <c r="B248" s="35" t="str">
        <f aca="false">IF(PRODUTOS!E248="","",PRODUTOS!E248*(1-ICMS_CREDITO))</f>
        <v/>
      </c>
      <c r="C248" s="34" t="n">
        <f aca="false">IF(PRODUTOS!F248="",MARGEM_PADRAO,PRODUTOS!F248)</f>
        <v>0.3</v>
      </c>
      <c r="D248" s="35" t="str">
        <f aca="false">IF(B248="","",ROUND(B248/(1-IMPOSTOS-C248),2))</f>
        <v/>
      </c>
      <c r="E248" s="35" t="str">
        <f aca="false">IF(B248="","",ROUND(B248/(1-IMPOSTOS-C248-TAXA_3X),2))</f>
        <v/>
      </c>
      <c r="F248" s="35" t="str">
        <f aca="false">IF(B248="","",ROUND(B248/(1-IMPOSTOS-C248-TAXA_6X),2))</f>
        <v/>
      </c>
      <c r="G248" s="35" t="str">
        <f aca="false">IF(B248="","",ROUND(B248/(1-IMPOSTOS-C248-TAXA_10X),2))</f>
        <v/>
      </c>
    </row>
    <row r="249" customFormat="false" ht="15.75" hidden="false" customHeight="true" outlineLevel="0" collapsed="false">
      <c r="A249" s="34" t="n">
        <f aca="false">PRODUTOS!A249</f>
        <v>0</v>
      </c>
      <c r="B249" s="35" t="str">
        <f aca="false">IF(PRODUTOS!E249="","",PRODUTOS!E249*(1-ICMS_CREDITO))</f>
        <v/>
      </c>
      <c r="C249" s="34" t="n">
        <f aca="false">IF(PRODUTOS!F249="",MARGEM_PADRAO,PRODUTOS!F249)</f>
        <v>0.3</v>
      </c>
      <c r="D249" s="35" t="str">
        <f aca="false">IF(B249="","",ROUND(B249/(1-IMPOSTOS-C249),2))</f>
        <v/>
      </c>
      <c r="E249" s="35" t="str">
        <f aca="false">IF(B249="","",ROUND(B249/(1-IMPOSTOS-C249-TAXA_3X),2))</f>
        <v/>
      </c>
      <c r="F249" s="35" t="str">
        <f aca="false">IF(B249="","",ROUND(B249/(1-IMPOSTOS-C249-TAXA_6X),2))</f>
        <v/>
      </c>
      <c r="G249" s="35" t="str">
        <f aca="false">IF(B249="","",ROUND(B249/(1-IMPOSTOS-C249-TAXA_10X),2))</f>
        <v/>
      </c>
    </row>
    <row r="250" customFormat="false" ht="15.75" hidden="false" customHeight="true" outlineLevel="0" collapsed="false">
      <c r="A250" s="34" t="n">
        <f aca="false">PRODUTOS!A250</f>
        <v>0</v>
      </c>
      <c r="B250" s="35" t="str">
        <f aca="false">IF(PRODUTOS!E250="","",PRODUTOS!E250*(1-ICMS_CREDITO))</f>
        <v/>
      </c>
      <c r="C250" s="34" t="n">
        <f aca="false">IF(PRODUTOS!F250="",MARGEM_PADRAO,PRODUTOS!F250)</f>
        <v>0.3</v>
      </c>
      <c r="D250" s="35" t="str">
        <f aca="false">IF(B250="","",ROUND(B250/(1-IMPOSTOS-C250),2))</f>
        <v/>
      </c>
      <c r="E250" s="35" t="str">
        <f aca="false">IF(B250="","",ROUND(B250/(1-IMPOSTOS-C250-TAXA_3X),2))</f>
        <v/>
      </c>
      <c r="F250" s="35" t="str">
        <f aca="false">IF(B250="","",ROUND(B250/(1-IMPOSTOS-C250-TAXA_6X),2))</f>
        <v/>
      </c>
      <c r="G250" s="35" t="str">
        <f aca="false">IF(B250="","",ROUND(B250/(1-IMPOSTOS-C250-TAXA_10X),2))</f>
        <v/>
      </c>
    </row>
    <row r="251" customFormat="false" ht="15.75" hidden="false" customHeight="true" outlineLevel="0" collapsed="false">
      <c r="A251" s="34" t="n">
        <f aca="false">PRODUTOS!A251</f>
        <v>0</v>
      </c>
      <c r="B251" s="35" t="str">
        <f aca="false">IF(PRODUTOS!E251="","",PRODUTOS!E251*(1-ICMS_CREDITO))</f>
        <v/>
      </c>
      <c r="C251" s="34" t="n">
        <f aca="false">IF(PRODUTOS!F251="",MARGEM_PADRAO,PRODUTOS!F251)</f>
        <v>0.3</v>
      </c>
      <c r="D251" s="35" t="str">
        <f aca="false">IF(B251="","",ROUND(B251/(1-IMPOSTOS-C251),2))</f>
        <v/>
      </c>
      <c r="E251" s="35" t="str">
        <f aca="false">IF(B251="","",ROUND(B251/(1-IMPOSTOS-C251-TAXA_3X),2))</f>
        <v/>
      </c>
      <c r="F251" s="35" t="str">
        <f aca="false">IF(B251="","",ROUND(B251/(1-IMPOSTOS-C251-TAXA_6X),2))</f>
        <v/>
      </c>
      <c r="G251" s="35" t="str">
        <f aca="false">IF(B251="","",ROUND(B251/(1-IMPOSTOS-C251-TAXA_10X),2))</f>
        <v/>
      </c>
    </row>
  </sheetData>
  <sheetProtection sheet="true" objects="true" scenarios="true"/>
  <mergeCells count="1">
    <mergeCell ref="I2:R6"/>
  </mergeCells>
  <conditionalFormatting sqref="D2:D251">
    <cfRule type="cellIs" priority="2" operator="lessThan" aboveAverage="0" equalAverage="0" bottom="0" percent="0" rank="0" text="" dxfId="0">
      <formula>B2/(1-IMPOSTOS)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984375" defaultRowHeight="15" zeroHeight="false" outlineLevelRow="0" outlineLevelCol="0"/>
  <cols>
    <col collapsed="false" customWidth="true" hidden="false" outlineLevel="0" max="1" min="1" style="36" width="9.1"/>
    <col collapsed="false" customWidth="true" hidden="false" outlineLevel="0" max="2" min="2" style="36" width="15.56"/>
    <col collapsed="false" customWidth="true" hidden="false" outlineLevel="0" max="4" min="3" style="36" width="12"/>
    <col collapsed="false" customWidth="true" hidden="false" outlineLevel="0" max="5" min="5" style="36" width="12.01"/>
    <col collapsed="false" customWidth="true" hidden="false" outlineLevel="0" max="6" min="6" style="37" width="20.63"/>
    <col collapsed="false" customWidth="true" hidden="false" outlineLevel="0" max="7" min="7" style="38" width="14.2"/>
    <col collapsed="false" customWidth="true" hidden="false" outlineLevel="0" max="8" min="8" style="38" width="18.42"/>
    <col collapsed="false" customWidth="true" hidden="false" outlineLevel="0" max="9" min="9" style="38" width="19.03"/>
    <col collapsed="false" customWidth="true" hidden="false" outlineLevel="0" max="12" min="10" style="36" width="12"/>
    <col collapsed="false" customWidth="false" hidden="false" outlineLevel="0" max="16384" min="13" style="36" width="8.59"/>
  </cols>
  <sheetData>
    <row r="1" customFormat="false" ht="15" hidden="false" customHeight="true" outlineLevel="0" collapsed="false">
      <c r="A1" s="16" t="s">
        <v>0</v>
      </c>
      <c r="B1" s="16" t="s">
        <v>122</v>
      </c>
      <c r="C1" s="16" t="s">
        <v>118</v>
      </c>
      <c r="D1" s="16" t="s">
        <v>119</v>
      </c>
      <c r="E1" s="16" t="s">
        <v>120</v>
      </c>
      <c r="F1" s="16" t="s">
        <v>123</v>
      </c>
      <c r="G1" s="39" t="s">
        <v>124</v>
      </c>
      <c r="H1" s="39" t="s">
        <v>125</v>
      </c>
      <c r="I1" s="39" t="s">
        <v>126</v>
      </c>
      <c r="J1" s="16" t="s">
        <v>127</v>
      </c>
      <c r="K1" s="16" t="s">
        <v>128</v>
      </c>
      <c r="L1" s="16" t="s">
        <v>129</v>
      </c>
    </row>
    <row r="2" customFormat="false" ht="15" hidden="false" customHeight="true" outlineLevel="0" collapsed="false">
      <c r="A2" s="8" t="n">
        <f aca="false">CALCULO!A2</f>
        <v>26482</v>
      </c>
      <c r="B2" s="40" t="n">
        <f aca="false">IF(CALCULO!D2="","",CALCULO!D2)</f>
        <v>4059.54</v>
      </c>
      <c r="C2" s="40" t="n">
        <f aca="false">IF(CALCULO!E2="","",CALCULO!E2)</f>
        <v>4509.81</v>
      </c>
      <c r="D2" s="40" t="n">
        <f aca="false">IF(CALCULO!F2="","",CALCULO!F2)</f>
        <v>4754.29</v>
      </c>
      <c r="E2" s="40" t="n">
        <f aca="false">IF(CALCULO!G2="","",CALCULO!G2)</f>
        <v>5383.81</v>
      </c>
      <c r="F2" s="41" t="n">
        <v>2820</v>
      </c>
      <c r="G2" s="42" t="n">
        <f aca="false">IF(F2="","",ROUND((F2-B2)/B2,4))</f>
        <v>-0.3053</v>
      </c>
      <c r="H2" s="42" t="n">
        <f aca="false">IF(F2="","",1-IMPOSTOS-CALCULO!B2/F2)</f>
        <v>0.10628865248227</v>
      </c>
      <c r="I2" s="42" t="n">
        <f aca="false">IF(F2="","",H2-CALCULO!C2)</f>
        <v>-0.19371134751773</v>
      </c>
      <c r="J2" s="40" t="n">
        <f aca="false">IF(F2="","",ROUND(CALCULO!B2/(1-IMPOSTOS-H2-TAXA_3X),2))</f>
        <v>3030.16</v>
      </c>
      <c r="K2" s="40" t="n">
        <f aca="false">IF(F2="","",ROUND(CALCULO!B2/(1-IMPOSTOS-H2-TAXA_6X),2))</f>
        <v>3138.6</v>
      </c>
      <c r="L2" s="40" t="n">
        <f aca="false">IF(F2="","",ROUND(CALCULO!B2/(1-IMPOSTOS-H2-TAXA_10X),2))</f>
        <v>3401.14</v>
      </c>
      <c r="N2" s="21" t="s">
        <v>130</v>
      </c>
      <c r="O2" s="21"/>
      <c r="P2" s="21"/>
      <c r="Q2" s="21"/>
      <c r="R2" s="21"/>
      <c r="S2" s="21"/>
    </row>
    <row r="3" customFormat="false" ht="15" hidden="false" customHeight="true" outlineLevel="0" collapsed="false">
      <c r="A3" s="8" t="n">
        <f aca="false">CALCULO!A3</f>
        <v>26483</v>
      </c>
      <c r="B3" s="40" t="str">
        <f aca="false">IF(CALCULO!D3="","",CALCULO!D3)</f>
        <v/>
      </c>
      <c r="C3" s="40" t="str">
        <f aca="false">IF(CALCULO!E3="","",CALCULO!E3)</f>
        <v/>
      </c>
      <c r="D3" s="40" t="str">
        <f aca="false">IF(CALCULO!F3="","",CALCULO!F3)</f>
        <v/>
      </c>
      <c r="E3" s="40" t="str">
        <f aca="false">IF(CALCULO!G3="","",CALCULO!G3)</f>
        <v/>
      </c>
      <c r="F3" s="41"/>
      <c r="G3" s="42" t="str">
        <f aca="false">IF(F3="","",ROUND((F3-B3)/B3,4))</f>
        <v/>
      </c>
      <c r="H3" s="42" t="str">
        <f aca="false">IF(F3="","",1-IMPOSTOS-CALCULO!B3/F3)</f>
        <v/>
      </c>
      <c r="I3" s="42" t="str">
        <f aca="false">IF(F3="","",H3-CALCULO!C3)</f>
        <v/>
      </c>
      <c r="J3" s="40" t="str">
        <f aca="false">IF(F3="","",ROUND(CALCULO!B3/(1-IMPOSTOS-H3-TAXA_3X),2))</f>
        <v/>
      </c>
      <c r="K3" s="40" t="str">
        <f aca="false">IF(F3="","",ROUND(CALCULO!B3/(1-IMPOSTOS-H3-TAXA_6X),2))</f>
        <v/>
      </c>
      <c r="L3" s="40" t="str">
        <f aca="false">IF(F3="","",ROUND(CALCULO!B3/(1-IMPOSTOS-H3-TAXA_10X),2))</f>
        <v/>
      </c>
      <c r="N3" s="21"/>
      <c r="O3" s="21"/>
      <c r="P3" s="21"/>
      <c r="Q3" s="21"/>
      <c r="R3" s="21"/>
      <c r="S3" s="21"/>
    </row>
    <row r="4" customFormat="false" ht="15" hidden="false" customHeight="true" outlineLevel="0" collapsed="false">
      <c r="A4" s="8" t="n">
        <f aca="false">CALCULO!A4</f>
        <v>26080</v>
      </c>
      <c r="B4" s="40" t="n">
        <f aca="false">IF(CALCULO!D4="","",CALCULO!D4)</f>
        <v>4710.51</v>
      </c>
      <c r="C4" s="40" t="n">
        <f aca="false">IF(CALCULO!E4="","",CALCULO!E4)</f>
        <v>5232.97</v>
      </c>
      <c r="D4" s="40" t="n">
        <f aca="false">IF(CALCULO!F4="","",CALCULO!F4)</f>
        <v>5516.66</v>
      </c>
      <c r="E4" s="40" t="n">
        <f aca="false">IF(CALCULO!G4="","",CALCULO!G4)</f>
        <v>6247.13</v>
      </c>
      <c r="F4" s="41" t="n">
        <v>3270</v>
      </c>
      <c r="G4" s="42" t="n">
        <f aca="false">IF(F4="","",ROUND((F4-B4)/B4,4))</f>
        <v>-0.3058</v>
      </c>
      <c r="H4" s="42" t="n">
        <f aca="false">IF(F4="","",1-IMPOSTOS-CALCULO!B4/F4)</f>
        <v>0.105862079510703</v>
      </c>
      <c r="I4" s="42" t="n">
        <f aca="false">IF(F4="","",H4-CALCULO!C4)</f>
        <v>-0.194137920489297</v>
      </c>
      <c r="J4" s="40" t="n">
        <f aca="false">IF(F4="","",ROUND(CALCULO!B4/(1-IMPOSTOS-H4-TAXA_3X),2))</f>
        <v>3513.52</v>
      </c>
      <c r="K4" s="40" t="n">
        <f aca="false">IF(F4="","",ROUND(CALCULO!B4/(1-IMPOSTOS-H4-TAXA_6X),2))</f>
        <v>3639.17</v>
      </c>
      <c r="L4" s="40" t="n">
        <f aca="false">IF(F4="","",ROUND(CALCULO!B4/(1-IMPOSTOS-H4-TAXA_10X),2))</f>
        <v>3943.33</v>
      </c>
      <c r="N4" s="21"/>
      <c r="O4" s="21"/>
      <c r="P4" s="21"/>
      <c r="Q4" s="21"/>
      <c r="R4" s="21"/>
      <c r="S4" s="21"/>
    </row>
    <row r="5" customFormat="false" ht="15" hidden="false" customHeight="true" outlineLevel="0" collapsed="false">
      <c r="A5" s="8" t="n">
        <f aca="false">CALCULO!A5</f>
        <v>26081</v>
      </c>
      <c r="B5" s="40" t="str">
        <f aca="false">IF(CALCULO!D5="","",CALCULO!D5)</f>
        <v/>
      </c>
      <c r="C5" s="40" t="str">
        <f aca="false">IF(CALCULO!E5="","",CALCULO!E5)</f>
        <v/>
      </c>
      <c r="D5" s="40" t="str">
        <f aca="false">IF(CALCULO!F5="","",CALCULO!F5)</f>
        <v/>
      </c>
      <c r="E5" s="40" t="str">
        <f aca="false">IF(CALCULO!G5="","",CALCULO!G5)</f>
        <v/>
      </c>
      <c r="F5" s="41"/>
      <c r="G5" s="42" t="str">
        <f aca="false">IF(F5="","",ROUND((F5-B5)/B5,4))</f>
        <v/>
      </c>
      <c r="H5" s="42" t="str">
        <f aca="false">IF(F5="","",1-IMPOSTOS-CALCULO!B5/F5)</f>
        <v/>
      </c>
      <c r="I5" s="42" t="str">
        <f aca="false">IF(F5="","",H5-CALCULO!C5)</f>
        <v/>
      </c>
      <c r="J5" s="40" t="str">
        <f aca="false">IF(F5="","",ROUND(CALCULO!B5/(1-IMPOSTOS-H5-TAXA_3X),2))</f>
        <v/>
      </c>
      <c r="K5" s="40" t="str">
        <f aca="false">IF(F5="","",ROUND(CALCULO!B5/(1-IMPOSTOS-H5-TAXA_6X),2))</f>
        <v/>
      </c>
      <c r="L5" s="40" t="str">
        <f aca="false">IF(F5="","",ROUND(CALCULO!B5/(1-IMPOSTOS-H5-TAXA_10X),2))</f>
        <v/>
      </c>
      <c r="N5" s="21"/>
      <c r="O5" s="21"/>
      <c r="P5" s="21"/>
      <c r="Q5" s="21"/>
      <c r="R5" s="21"/>
      <c r="S5" s="21"/>
    </row>
    <row r="6" customFormat="false" ht="15" hidden="false" customHeight="true" outlineLevel="0" collapsed="false">
      <c r="A6" s="8" t="n">
        <f aca="false">CALCULO!A6</f>
        <v>26471</v>
      </c>
      <c r="B6" s="40" t="n">
        <f aca="false">IF(CALCULO!D6="","",CALCULO!D6)</f>
        <v>6551.58</v>
      </c>
      <c r="C6" s="40" t="n">
        <f aca="false">IF(CALCULO!E6="","",CALCULO!E6)</f>
        <v>7278.25</v>
      </c>
      <c r="D6" s="40" t="n">
        <f aca="false">IF(CALCULO!F6="","",CALCULO!F6)</f>
        <v>7672.81</v>
      </c>
      <c r="E6" s="40" t="n">
        <f aca="false">IF(CALCULO!G6="","",CALCULO!G6)</f>
        <v>8688.78</v>
      </c>
      <c r="F6" s="41" t="n">
        <v>4587</v>
      </c>
      <c r="G6" s="42" t="n">
        <f aca="false">IF(F6="","",ROUND((F6-B6)/B6,4))</f>
        <v>-0.2999</v>
      </c>
      <c r="H6" s="42" t="n">
        <f aca="false">IF(F6="","",1-IMPOSTOS-CALCULO!B6/F6)</f>
        <v>0.111251558752998</v>
      </c>
      <c r="I6" s="42" t="n">
        <f aca="false">IF(F6="","",H6-CALCULO!C6)</f>
        <v>-0.188748441247002</v>
      </c>
      <c r="J6" s="40" t="n">
        <f aca="false">IF(F6="","",ROUND(CALCULO!B6/(1-IMPOSTOS-H6-TAXA_3X),2))</f>
        <v>4931.74</v>
      </c>
      <c r="K6" s="40" t="n">
        <f aca="false">IF(F6="","",ROUND(CALCULO!B6/(1-IMPOSTOS-H6-TAXA_6X),2))</f>
        <v>5109.79</v>
      </c>
      <c r="L6" s="40" t="n">
        <f aca="false">IF(F6="","",ROUND(CALCULO!B6/(1-IMPOSTOS-H6-TAXA_10X),2))</f>
        <v>5541.29</v>
      </c>
      <c r="N6" s="21"/>
      <c r="O6" s="21"/>
      <c r="P6" s="21"/>
      <c r="Q6" s="21"/>
      <c r="R6" s="21"/>
      <c r="S6" s="21"/>
    </row>
    <row r="7" customFormat="false" ht="15" hidden="false" customHeight="true" outlineLevel="0" collapsed="false">
      <c r="A7" s="8" t="n">
        <f aca="false">CALCULO!A7</f>
        <v>26472</v>
      </c>
      <c r="B7" s="40" t="str">
        <f aca="false">IF(CALCULO!D7="","",CALCULO!D7)</f>
        <v/>
      </c>
      <c r="C7" s="40" t="str">
        <f aca="false">IF(CALCULO!E7="","",CALCULO!E7)</f>
        <v/>
      </c>
      <c r="D7" s="40" t="str">
        <f aca="false">IF(CALCULO!F7="","",CALCULO!F7)</f>
        <v/>
      </c>
      <c r="E7" s="40" t="str">
        <f aca="false">IF(CALCULO!G7="","",CALCULO!G7)</f>
        <v/>
      </c>
      <c r="F7" s="41"/>
      <c r="G7" s="42" t="str">
        <f aca="false">IF(F7="","",ROUND((F7-B7)/B7,4))</f>
        <v/>
      </c>
      <c r="H7" s="42" t="str">
        <f aca="false">IF(F7="","",1-IMPOSTOS-CALCULO!B7/F7)</f>
        <v/>
      </c>
      <c r="I7" s="42" t="str">
        <f aca="false">IF(F7="","",H7-CALCULO!C7)</f>
        <v/>
      </c>
      <c r="J7" s="40" t="str">
        <f aca="false">IF(F7="","",ROUND(CALCULO!B7/(1-IMPOSTOS-H7-TAXA_3X),2))</f>
        <v/>
      </c>
      <c r="K7" s="40" t="str">
        <f aca="false">IF(F7="","",ROUND(CALCULO!B7/(1-IMPOSTOS-H7-TAXA_6X),2))</f>
        <v/>
      </c>
      <c r="L7" s="40" t="str">
        <f aca="false">IF(F7="","",ROUND(CALCULO!B7/(1-IMPOSTOS-H7-TAXA_10X),2))</f>
        <v/>
      </c>
      <c r="N7" s="21"/>
      <c r="O7" s="21"/>
      <c r="P7" s="21"/>
      <c r="Q7" s="21"/>
      <c r="R7" s="21"/>
      <c r="S7" s="21"/>
    </row>
    <row r="8" customFormat="false" ht="15" hidden="false" customHeight="true" outlineLevel="0" collapsed="false">
      <c r="A8" s="8" t="n">
        <f aca="false">CALCULO!A8</f>
        <v>26821</v>
      </c>
      <c r="B8" s="40" t="n">
        <f aca="false">IF(CALCULO!D8="","",CALCULO!D8)</f>
        <v>3887.81</v>
      </c>
      <c r="C8" s="40" t="n">
        <f aca="false">IF(CALCULO!E8="","",CALCULO!E8)</f>
        <v>4319.03</v>
      </c>
      <c r="D8" s="40" t="n">
        <f aca="false">IF(CALCULO!F8="","",CALCULO!F8)</f>
        <v>4553.18</v>
      </c>
      <c r="E8" s="40" t="n">
        <f aca="false">IF(CALCULO!G8="","",CALCULO!G8)</f>
        <v>5156.06</v>
      </c>
      <c r="F8" s="41" t="n">
        <v>2645</v>
      </c>
      <c r="G8" s="42" t="n">
        <f aca="false">IF(F8="","",ROUND((F8-B8)/B8,4))</f>
        <v>-0.3197</v>
      </c>
      <c r="H8" s="42" t="n">
        <f aca="false">IF(F8="","",1-IMPOSTOS-CALCULO!B8/F8)</f>
        <v>0.0929268431001891</v>
      </c>
      <c r="I8" s="42" t="n">
        <f aca="false">IF(F8="","",H8-CALCULO!C8)</f>
        <v>-0.207073156899811</v>
      </c>
      <c r="J8" s="40" t="n">
        <f aca="false">IF(F8="","",ROUND(CALCULO!B8/(1-IMPOSTOS-H8-TAXA_3X),2))</f>
        <v>2837.75</v>
      </c>
      <c r="K8" s="40" t="n">
        <f aca="false">IF(F8="","",ROUND(CALCULO!B8/(1-IMPOSTOS-H8-TAXA_6X),2))</f>
        <v>2936.99</v>
      </c>
      <c r="L8" s="40" t="n">
        <f aca="false">IF(F8="","",ROUND(CALCULO!B8/(1-IMPOSTOS-H8-TAXA_10X),2))</f>
        <v>3176.58</v>
      </c>
      <c r="N8" s="21"/>
      <c r="O8" s="21"/>
      <c r="P8" s="21"/>
      <c r="Q8" s="21"/>
      <c r="R8" s="21"/>
      <c r="S8" s="21"/>
    </row>
    <row r="9" customFormat="false" ht="15" hidden="false" customHeight="true" outlineLevel="0" collapsed="false">
      <c r="A9" s="8" t="n">
        <f aca="false">CALCULO!A9</f>
        <v>27124</v>
      </c>
      <c r="B9" s="40" t="str">
        <f aca="false">IF(CALCULO!D9="","",CALCULO!D9)</f>
        <v/>
      </c>
      <c r="C9" s="40" t="str">
        <f aca="false">IF(CALCULO!E9="","",CALCULO!E9)</f>
        <v/>
      </c>
      <c r="D9" s="40" t="str">
        <f aca="false">IF(CALCULO!F9="","",CALCULO!F9)</f>
        <v/>
      </c>
      <c r="E9" s="40" t="str">
        <f aca="false">IF(CALCULO!G9="","",CALCULO!G9)</f>
        <v/>
      </c>
      <c r="F9" s="41"/>
      <c r="G9" s="42" t="str">
        <f aca="false">IF(F9="","",ROUND((F9-B9)/B9,4))</f>
        <v/>
      </c>
      <c r="H9" s="42" t="str">
        <f aca="false">IF(F9="","",1-IMPOSTOS-CALCULO!B9/F9)</f>
        <v/>
      </c>
      <c r="I9" s="42" t="str">
        <f aca="false">IF(F9="","",H9-CALCULO!C9)</f>
        <v/>
      </c>
      <c r="J9" s="40" t="str">
        <f aca="false">IF(F9="","",ROUND(CALCULO!B9/(1-IMPOSTOS-H9-TAXA_3X),2))</f>
        <v/>
      </c>
      <c r="K9" s="40" t="str">
        <f aca="false">IF(F9="","",ROUND(CALCULO!B9/(1-IMPOSTOS-H9-TAXA_6X),2))</f>
        <v/>
      </c>
      <c r="L9" s="40" t="str">
        <f aca="false">IF(F9="","",ROUND(CALCULO!B9/(1-IMPOSTOS-H9-TAXA_10X),2))</f>
        <v/>
      </c>
      <c r="N9" s="21"/>
      <c r="O9" s="21"/>
      <c r="P9" s="21"/>
      <c r="Q9" s="21"/>
      <c r="R9" s="21"/>
      <c r="S9" s="21"/>
    </row>
    <row r="10" customFormat="false" ht="15" hidden="false" customHeight="true" outlineLevel="0" collapsed="false">
      <c r="A10" s="8" t="n">
        <f aca="false">CALCULO!A10</f>
        <v>25812</v>
      </c>
      <c r="B10" s="40" t="n">
        <f aca="false">IF(CALCULO!D10="","",CALCULO!D10)</f>
        <v>3342.68</v>
      </c>
      <c r="C10" s="40" t="n">
        <f aca="false">IF(CALCULO!E10="","",CALCULO!E10)</f>
        <v>3713.44</v>
      </c>
      <c r="D10" s="40" t="n">
        <f aca="false">IF(CALCULO!F10="","",CALCULO!F10)</f>
        <v>3914.75</v>
      </c>
      <c r="E10" s="40" t="n">
        <f aca="false">IF(CALCULO!G10="","",CALCULO!G10)</f>
        <v>4433.1</v>
      </c>
      <c r="F10" s="41" t="n">
        <v>2045</v>
      </c>
      <c r="G10" s="42" t="n">
        <f aca="false">IF(F10="","",ROUND((F10-B10)/B10,4))</f>
        <v>-0.3882</v>
      </c>
      <c r="H10" s="42" t="n">
        <f aca="false">IF(F10="","",1-IMPOSTOS-CALCULO!B10/F10)</f>
        <v>0.0203479217603911</v>
      </c>
      <c r="I10" s="42" t="n">
        <f aca="false">IF(F10="","",H10-CALCULO!C10)</f>
        <v>-0.279652078239609</v>
      </c>
      <c r="J10" s="40" t="n">
        <f aca="false">IF(F10="","",ROUND(CALCULO!B10/(1-IMPOSTOS-H10-TAXA_3X),2))</f>
        <v>2178.04</v>
      </c>
      <c r="K10" s="40" t="n">
        <f aca="false">IF(F10="","",ROUND(CALCULO!B10/(1-IMPOSTOS-H10-TAXA_6X),2))</f>
        <v>2245.77</v>
      </c>
      <c r="L10" s="40" t="n">
        <f aca="false">IF(F10="","",ROUND(CALCULO!B10/(1-IMPOSTOS-H10-TAXA_10X),2))</f>
        <v>2407.25</v>
      </c>
      <c r="N10" s="21"/>
      <c r="O10" s="21"/>
      <c r="P10" s="21"/>
      <c r="Q10" s="21"/>
      <c r="R10" s="21"/>
      <c r="S10" s="21"/>
    </row>
    <row r="11" customFormat="false" ht="15" hidden="false" customHeight="true" outlineLevel="0" collapsed="false">
      <c r="A11" s="8" t="n">
        <f aca="false">CALCULO!A11</f>
        <v>25808</v>
      </c>
      <c r="B11" s="40" t="str">
        <f aca="false">IF(CALCULO!D11="","",CALCULO!D11)</f>
        <v/>
      </c>
      <c r="C11" s="40" t="str">
        <f aca="false">IF(CALCULO!E11="","",CALCULO!E11)</f>
        <v/>
      </c>
      <c r="D11" s="40" t="str">
        <f aca="false">IF(CALCULO!F11="","",CALCULO!F11)</f>
        <v/>
      </c>
      <c r="E11" s="40" t="str">
        <f aca="false">IF(CALCULO!G11="","",CALCULO!G11)</f>
        <v/>
      </c>
      <c r="F11" s="41"/>
      <c r="G11" s="42" t="str">
        <f aca="false">IF(F11="","",ROUND((F11-B11)/B11,4))</f>
        <v/>
      </c>
      <c r="H11" s="42" t="str">
        <f aca="false">IF(F11="","",1-IMPOSTOS-CALCULO!B11/F11)</f>
        <v/>
      </c>
      <c r="I11" s="42" t="str">
        <f aca="false">IF(F11="","",H11-CALCULO!C11)</f>
        <v/>
      </c>
      <c r="J11" s="40" t="str">
        <f aca="false">IF(F11="","",ROUND(CALCULO!B11/(1-IMPOSTOS-H11-TAXA_3X),2))</f>
        <v/>
      </c>
      <c r="K11" s="40" t="str">
        <f aca="false">IF(F11="","",ROUND(CALCULO!B11/(1-IMPOSTOS-H11-TAXA_6X),2))</f>
        <v/>
      </c>
      <c r="L11" s="40" t="str">
        <f aca="false">IF(F11="","",ROUND(CALCULO!B11/(1-IMPOSTOS-H11-TAXA_10X),2))</f>
        <v/>
      </c>
    </row>
    <row r="12" customFormat="false" ht="15" hidden="false" customHeight="true" outlineLevel="0" collapsed="false">
      <c r="A12" s="8" t="n">
        <f aca="false">CALCULO!A12</f>
        <v>25595</v>
      </c>
      <c r="B12" s="40" t="n">
        <f aca="false">IF(CALCULO!D12="","",CALCULO!D12)</f>
        <v>5680.96</v>
      </c>
      <c r="C12" s="40" t="n">
        <f aca="false">IF(CALCULO!E12="","",CALCULO!E12)</f>
        <v>6311.07</v>
      </c>
      <c r="D12" s="40" t="n">
        <f aca="false">IF(CALCULO!F12="","",CALCULO!F12)</f>
        <v>6653.2</v>
      </c>
      <c r="E12" s="40" t="n">
        <f aca="false">IF(CALCULO!G12="","",CALCULO!G12)</f>
        <v>7534.16</v>
      </c>
      <c r="F12" s="41" t="n">
        <v>3615</v>
      </c>
      <c r="G12" s="42" t="n">
        <f aca="false">IF(F12="","",ROUND((F12-B12)/B12,4))</f>
        <v>-0.3637</v>
      </c>
      <c r="H12" s="42" t="n">
        <f aca="false">IF(F12="","",1-IMPOSTOS-CALCULO!B12/F12)</f>
        <v>0.0481412171507608</v>
      </c>
      <c r="I12" s="42" t="n">
        <f aca="false">IF(F12="","",H12-CALCULO!C12)</f>
        <v>-0.251858782849239</v>
      </c>
      <c r="J12" s="40" t="n">
        <f aca="false">IF(F12="","",ROUND(CALCULO!B12/(1-IMPOSTOS-H12-TAXA_3X),2))</f>
        <v>3860.25</v>
      </c>
      <c r="K12" s="40" t="n">
        <f aca="false">IF(F12="","",ROUND(CALCULO!B12/(1-IMPOSTOS-H12-TAXA_6X),2))</f>
        <v>3985.62</v>
      </c>
      <c r="L12" s="40" t="n">
        <f aca="false">IF(F12="","",ROUND(CALCULO!B12/(1-IMPOSTOS-H12-TAXA_10X),2))</f>
        <v>4285.82</v>
      </c>
      <c r="N12" s="21" t="s">
        <v>131</v>
      </c>
      <c r="O12" s="21"/>
      <c r="P12" s="21"/>
      <c r="Q12" s="21"/>
      <c r="R12" s="21"/>
      <c r="S12" s="21"/>
    </row>
    <row r="13" customFormat="false" ht="15" hidden="false" customHeight="true" outlineLevel="0" collapsed="false">
      <c r="A13" s="8" t="n">
        <f aca="false">CALCULO!A13</f>
        <v>25594</v>
      </c>
      <c r="B13" s="40" t="str">
        <f aca="false">IF(CALCULO!D13="","",CALCULO!D13)</f>
        <v/>
      </c>
      <c r="C13" s="40" t="str">
        <f aca="false">IF(CALCULO!E13="","",CALCULO!E13)</f>
        <v/>
      </c>
      <c r="D13" s="40" t="str">
        <f aca="false">IF(CALCULO!F13="","",CALCULO!F13)</f>
        <v/>
      </c>
      <c r="E13" s="40" t="str">
        <f aca="false">IF(CALCULO!G13="","",CALCULO!G13)</f>
        <v/>
      </c>
      <c r="F13" s="41"/>
      <c r="G13" s="42" t="str">
        <f aca="false">IF(F13="","",ROUND((F13-B13)/B13,4))</f>
        <v/>
      </c>
      <c r="H13" s="42" t="str">
        <f aca="false">IF(F13="","",1-IMPOSTOS-CALCULO!B13/F13)</f>
        <v/>
      </c>
      <c r="I13" s="42" t="str">
        <f aca="false">IF(F13="","",H13-CALCULO!C13)</f>
        <v/>
      </c>
      <c r="J13" s="40" t="str">
        <f aca="false">IF(F13="","",ROUND(CALCULO!B13/(1-IMPOSTOS-H13-TAXA_3X),2))</f>
        <v/>
      </c>
      <c r="K13" s="40" t="str">
        <f aca="false">IF(F13="","",ROUND(CALCULO!B13/(1-IMPOSTOS-H13-TAXA_6X),2))</f>
        <v/>
      </c>
      <c r="L13" s="40" t="str">
        <f aca="false">IF(F13="","",ROUND(CALCULO!B13/(1-IMPOSTOS-H13-TAXA_10X),2))</f>
        <v/>
      </c>
      <c r="N13" s="21"/>
      <c r="O13" s="21"/>
      <c r="P13" s="21"/>
      <c r="Q13" s="21"/>
      <c r="R13" s="21"/>
      <c r="S13" s="21"/>
    </row>
    <row r="14" customFormat="false" ht="15" hidden="false" customHeight="true" outlineLevel="0" collapsed="false">
      <c r="A14" s="8" t="n">
        <f aca="false">CALCULO!A14</f>
        <v>25597</v>
      </c>
      <c r="B14" s="40" t="n">
        <f aca="false">IF(CALCULO!D14="","",CALCULO!D14)</f>
        <v>7180.58</v>
      </c>
      <c r="C14" s="40" t="n">
        <f aca="false">IF(CALCULO!E14="","",CALCULO!E14)</f>
        <v>7977.01</v>
      </c>
      <c r="D14" s="40" t="n">
        <f aca="false">IF(CALCULO!F14="","",CALCULO!F14)</f>
        <v>8409.46</v>
      </c>
      <c r="E14" s="40" t="n">
        <f aca="false">IF(CALCULO!G14="","",CALCULO!G14)</f>
        <v>9522.96</v>
      </c>
      <c r="F14" s="41" t="n">
        <v>4890</v>
      </c>
      <c r="G14" s="42" t="n">
        <f aca="false">IF(F14="","",ROUND((F14-B14)/B14,4))</f>
        <v>-0.319</v>
      </c>
      <c r="H14" s="42" t="n">
        <f aca="false">IF(F14="","",1-IMPOSTOS-CALCULO!B14/F14)</f>
        <v>0.0935670756646218</v>
      </c>
      <c r="I14" s="42" t="n">
        <f aca="false">IF(F14="","",H14-CALCULO!C14)</f>
        <v>-0.206432924335378</v>
      </c>
      <c r="J14" s="40" t="n">
        <f aca="false">IF(F14="","",ROUND(CALCULO!B14/(1-IMPOSTOS-H14-TAXA_3X),2))</f>
        <v>5246.74</v>
      </c>
      <c r="K14" s="40" t="n">
        <f aca="false">IF(F14="","",ROUND(CALCULO!B14/(1-IMPOSTOS-H14-TAXA_6X),2))</f>
        <v>5430.41</v>
      </c>
      <c r="L14" s="40" t="n">
        <f aca="false">IF(F14="","",ROUND(CALCULO!B14/(1-IMPOSTOS-H14-TAXA_10X),2))</f>
        <v>5873.93</v>
      </c>
    </row>
    <row r="15" customFormat="false" ht="15" hidden="false" customHeight="true" outlineLevel="0" collapsed="false">
      <c r="A15" s="8" t="n">
        <f aca="false">CALCULO!A15</f>
        <v>25596</v>
      </c>
      <c r="B15" s="40" t="str">
        <f aca="false">IF(CALCULO!D15="","",CALCULO!D15)</f>
        <v/>
      </c>
      <c r="C15" s="40" t="str">
        <f aca="false">IF(CALCULO!E15="","",CALCULO!E15)</f>
        <v/>
      </c>
      <c r="D15" s="40" t="str">
        <f aca="false">IF(CALCULO!F15="","",CALCULO!F15)</f>
        <v/>
      </c>
      <c r="E15" s="40" t="str">
        <f aca="false">IF(CALCULO!G15="","",CALCULO!G15)</f>
        <v/>
      </c>
      <c r="F15" s="41"/>
      <c r="G15" s="42" t="str">
        <f aca="false">IF(F15="","",ROUND((F15-B15)/B15,4))</f>
        <v/>
      </c>
      <c r="H15" s="42" t="str">
        <f aca="false">IF(F15="","",1-IMPOSTOS-CALCULO!B15/F15)</f>
        <v/>
      </c>
      <c r="I15" s="42" t="str">
        <f aca="false">IF(F15="","",H15-CALCULO!C15)</f>
        <v/>
      </c>
      <c r="J15" s="40" t="str">
        <f aca="false">IF(F15="","",ROUND(CALCULO!B15/(1-IMPOSTOS-H15-TAXA_3X),2))</f>
        <v/>
      </c>
      <c r="K15" s="40" t="str">
        <f aca="false">IF(F15="","",ROUND(CALCULO!B15/(1-IMPOSTOS-H15-TAXA_6X),2))</f>
        <v/>
      </c>
      <c r="L15" s="40" t="str">
        <f aca="false">IF(F15="","",ROUND(CALCULO!B15/(1-IMPOSTOS-H15-TAXA_10X),2))</f>
        <v/>
      </c>
      <c r="N15" s="21" t="s">
        <v>132</v>
      </c>
      <c r="O15" s="21"/>
      <c r="P15" s="21"/>
      <c r="Q15" s="21"/>
      <c r="R15" s="21"/>
      <c r="S15" s="21"/>
    </row>
    <row r="16" customFormat="false" ht="15" hidden="false" customHeight="true" outlineLevel="0" collapsed="false">
      <c r="A16" s="8" t="n">
        <f aca="false">CALCULO!A16</f>
        <v>25872</v>
      </c>
      <c r="B16" s="40" t="n">
        <f aca="false">IF(CALCULO!D16="","",CALCULO!D16)</f>
        <v>10427.41</v>
      </c>
      <c r="C16" s="40" t="n">
        <f aca="false">IF(CALCULO!E16="","",CALCULO!E16)</f>
        <v>11583.97</v>
      </c>
      <c r="D16" s="40" t="n">
        <f aca="false">IF(CALCULO!F16="","",CALCULO!F16)</f>
        <v>12211.96</v>
      </c>
      <c r="E16" s="40" t="n">
        <f aca="false">IF(CALCULO!G16="","",CALCULO!G16)</f>
        <v>13828.95</v>
      </c>
      <c r="F16" s="41" t="n">
        <v>6758</v>
      </c>
      <c r="G16" s="42" t="n">
        <f aca="false">IF(F16="","",ROUND((F16-B16)/B16,4))</f>
        <v>-0.3519</v>
      </c>
      <c r="H16" s="42" t="n">
        <f aca="false">IF(F16="","",1-IMPOSTOS-CALCULO!B16/F16)</f>
        <v>0.0607118378218409</v>
      </c>
      <c r="I16" s="42" t="n">
        <f aca="false">IF(F16="","",H16-CALCULO!C16)</f>
        <v>-0.239288162178159</v>
      </c>
      <c r="J16" s="40" t="n">
        <f aca="false">IF(F16="","",ROUND(CALCULO!B16/(1-IMPOSTOS-H16-TAXA_3X),2))</f>
        <v>7225.54</v>
      </c>
      <c r="K16" s="40" t="n">
        <f aca="false">IF(F16="","",ROUND(CALCULO!B16/(1-IMPOSTOS-H16-TAXA_6X),2))</f>
        <v>7464.99</v>
      </c>
      <c r="L16" s="40" t="n">
        <f aca="false">IF(F16="","",ROUND(CALCULO!B16/(1-IMPOSTOS-H16-TAXA_10X),2))</f>
        <v>8039.63</v>
      </c>
      <c r="N16" s="21"/>
      <c r="O16" s="21"/>
      <c r="P16" s="21"/>
      <c r="Q16" s="21"/>
      <c r="R16" s="21"/>
      <c r="S16" s="21"/>
    </row>
    <row r="17" customFormat="false" ht="15" hidden="false" customHeight="true" outlineLevel="0" collapsed="false">
      <c r="A17" s="8" t="n">
        <f aca="false">CALCULO!A17</f>
        <v>25871</v>
      </c>
      <c r="B17" s="40" t="str">
        <f aca="false">IF(CALCULO!D17="","",CALCULO!D17)</f>
        <v/>
      </c>
      <c r="C17" s="40" t="str">
        <f aca="false">IF(CALCULO!E17="","",CALCULO!E17)</f>
        <v/>
      </c>
      <c r="D17" s="40" t="str">
        <f aca="false">IF(CALCULO!F17="","",CALCULO!F17)</f>
        <v/>
      </c>
      <c r="E17" s="40" t="str">
        <f aca="false">IF(CALCULO!G17="","",CALCULO!G17)</f>
        <v/>
      </c>
      <c r="F17" s="41"/>
      <c r="G17" s="42" t="str">
        <f aca="false">IF(F17="","",ROUND((F17-B17)/B17,4))</f>
        <v/>
      </c>
      <c r="H17" s="42" t="str">
        <f aca="false">IF(F17="","",1-IMPOSTOS-CALCULO!B17/F17)</f>
        <v/>
      </c>
      <c r="I17" s="42" t="str">
        <f aca="false">IF(F17="","",H17-CALCULO!C17)</f>
        <v/>
      </c>
      <c r="J17" s="40" t="str">
        <f aca="false">IF(F17="","",ROUND(CALCULO!B17/(1-IMPOSTOS-H17-TAXA_3X),2))</f>
        <v/>
      </c>
      <c r="K17" s="40" t="str">
        <f aca="false">IF(F17="","",ROUND(CALCULO!B17/(1-IMPOSTOS-H17-TAXA_6X),2))</f>
        <v/>
      </c>
      <c r="L17" s="40" t="str">
        <f aca="false">IF(F17="","",ROUND(CALCULO!B17/(1-IMPOSTOS-H17-TAXA_10X),2))</f>
        <v/>
      </c>
    </row>
    <row r="18" customFormat="false" ht="15" hidden="false" customHeight="true" outlineLevel="0" collapsed="false">
      <c r="A18" s="8" t="n">
        <f aca="false">CALCULO!A18</f>
        <v>25724</v>
      </c>
      <c r="B18" s="40" t="n">
        <f aca="false">IF(CALCULO!D18="","",CALCULO!D18)</f>
        <v>11260.09</v>
      </c>
      <c r="C18" s="40" t="n">
        <f aca="false">IF(CALCULO!E18="","",CALCULO!E18)</f>
        <v>12509</v>
      </c>
      <c r="D18" s="40" t="n">
        <f aca="false">IF(CALCULO!F18="","",CALCULO!F18)</f>
        <v>13187.14</v>
      </c>
      <c r="E18" s="40" t="n">
        <f aca="false">IF(CALCULO!G18="","",CALCULO!G18)</f>
        <v>14933.25</v>
      </c>
      <c r="F18" s="41" t="n">
        <v>7932</v>
      </c>
      <c r="G18" s="42" t="n">
        <f aca="false">IF(F18="","",ROUND((F18-B18)/B18,4))</f>
        <v>-0.2956</v>
      </c>
      <c r="H18" s="42" t="n">
        <f aca="false">IF(F18="","",1-IMPOSTOS-CALCULO!B18/F18)</f>
        <v>0.115092334846193</v>
      </c>
      <c r="I18" s="42" t="n">
        <f aca="false">IF(F18="","",H18-CALCULO!C18)</f>
        <v>-0.184907665153807</v>
      </c>
      <c r="J18" s="40" t="n">
        <f aca="false">IF(F18="","",ROUND(CALCULO!B18/(1-IMPOSTOS-H18-TAXA_3X),2))</f>
        <v>8532.07</v>
      </c>
      <c r="K18" s="40" t="n">
        <f aca="false">IF(F18="","",ROUND(CALCULO!B18/(1-IMPOSTOS-H18-TAXA_6X),2))</f>
        <v>8842.22</v>
      </c>
      <c r="L18" s="40" t="n">
        <f aca="false">IF(F18="","",ROUND(CALCULO!B18/(1-IMPOSTOS-H18-TAXA_10X),2))</f>
        <v>9594.44</v>
      </c>
      <c r="N18" s="21" t="s">
        <v>133</v>
      </c>
      <c r="O18" s="21"/>
      <c r="P18" s="21"/>
      <c r="Q18" s="21"/>
      <c r="R18" s="21"/>
      <c r="S18" s="21"/>
    </row>
    <row r="19" customFormat="false" ht="15" hidden="false" customHeight="true" outlineLevel="0" collapsed="false">
      <c r="A19" s="8" t="n">
        <f aca="false">CALCULO!A19</f>
        <v>25723</v>
      </c>
      <c r="B19" s="40" t="str">
        <f aca="false">IF(CALCULO!D19="","",CALCULO!D19)</f>
        <v/>
      </c>
      <c r="C19" s="40" t="str">
        <f aca="false">IF(CALCULO!E19="","",CALCULO!E19)</f>
        <v/>
      </c>
      <c r="D19" s="40" t="str">
        <f aca="false">IF(CALCULO!F19="","",CALCULO!F19)</f>
        <v/>
      </c>
      <c r="E19" s="40" t="str">
        <f aca="false">IF(CALCULO!G19="","",CALCULO!G19)</f>
        <v/>
      </c>
      <c r="F19" s="41"/>
      <c r="G19" s="42" t="str">
        <f aca="false">IF(F19="","",ROUND((F19-B19)/B19,4))</f>
        <v/>
      </c>
      <c r="H19" s="42" t="str">
        <f aca="false">IF(F19="","",1-IMPOSTOS-CALCULO!B19/F19)</f>
        <v/>
      </c>
      <c r="I19" s="42" t="str">
        <f aca="false">IF(F19="","",H19-CALCULO!C19)</f>
        <v/>
      </c>
      <c r="J19" s="40" t="str">
        <f aca="false">IF(F19="","",ROUND(CALCULO!B19/(1-IMPOSTOS-H19-TAXA_3X),2))</f>
        <v/>
      </c>
      <c r="K19" s="40" t="str">
        <f aca="false">IF(F19="","",ROUND(CALCULO!B19/(1-IMPOSTOS-H19-TAXA_6X),2))</f>
        <v/>
      </c>
      <c r="L19" s="40" t="str">
        <f aca="false">IF(F19="","",ROUND(CALCULO!B19/(1-IMPOSTOS-H19-TAXA_10X),2))</f>
        <v/>
      </c>
      <c r="N19" s="21"/>
      <c r="O19" s="21"/>
      <c r="P19" s="21"/>
      <c r="Q19" s="21"/>
      <c r="R19" s="21"/>
      <c r="S19" s="21"/>
    </row>
    <row r="20" customFormat="false" ht="15" hidden="false" customHeight="true" outlineLevel="0" collapsed="false">
      <c r="A20" s="8" t="n">
        <f aca="false">CALCULO!A20</f>
        <v>25928</v>
      </c>
      <c r="B20" s="40" t="n">
        <f aca="false">IF(CALCULO!D20="","",CALCULO!D20)</f>
        <v>15097.98</v>
      </c>
      <c r="C20" s="40" t="n">
        <f aca="false">IF(CALCULO!E20="","",CALCULO!E20)</f>
        <v>16772.57</v>
      </c>
      <c r="D20" s="40" t="n">
        <f aca="false">IF(CALCULO!F20="","",CALCULO!F20)</f>
        <v>17681.85</v>
      </c>
      <c r="E20" s="40" t="n">
        <f aca="false">IF(CALCULO!G20="","",CALCULO!G20)</f>
        <v>20023.11</v>
      </c>
      <c r="F20" s="41" t="n">
        <v>11053</v>
      </c>
      <c r="G20" s="42" t="n">
        <f aca="false">IF(F20="","",ROUND((F20-B20)/B20,4))</f>
        <v>-0.2679</v>
      </c>
      <c r="H20" s="42" t="n">
        <f aca="false">IF(F20="","",1-IMPOSTOS-CALCULO!B20/F20)</f>
        <v>0.138720446937483</v>
      </c>
      <c r="I20" s="42" t="n">
        <f aca="false">IF(F20="","",H20-CALCULO!C20)</f>
        <v>-0.161279553062517</v>
      </c>
      <c r="J20" s="40" t="n">
        <f aca="false">IF(F20="","",ROUND(CALCULO!B20/(1-IMPOSTOS-H20-TAXA_3X),2))</f>
        <v>11924.59</v>
      </c>
      <c r="K20" s="40" t="n">
        <f aca="false">IF(F20="","",ROUND(CALCULO!B20/(1-IMPOSTOS-H20-TAXA_6X),2))</f>
        <v>12377.11</v>
      </c>
      <c r="L20" s="40" t="n">
        <f aca="false">IF(F20="","",ROUND(CALCULO!B20/(1-IMPOSTOS-H20-TAXA_10X),2))</f>
        <v>13480.46</v>
      </c>
    </row>
    <row r="21" customFormat="false" ht="15" hidden="false" customHeight="true" outlineLevel="0" collapsed="false">
      <c r="A21" s="8" t="n">
        <f aca="false">CALCULO!A21</f>
        <v>25927</v>
      </c>
      <c r="B21" s="40" t="str">
        <f aca="false">IF(CALCULO!D21="","",CALCULO!D21)</f>
        <v/>
      </c>
      <c r="C21" s="40" t="str">
        <f aca="false">IF(CALCULO!E21="","",CALCULO!E21)</f>
        <v/>
      </c>
      <c r="D21" s="40" t="str">
        <f aca="false">IF(CALCULO!F21="","",CALCULO!F21)</f>
        <v/>
      </c>
      <c r="E21" s="40" t="str">
        <f aca="false">IF(CALCULO!G21="","",CALCULO!G21)</f>
        <v/>
      </c>
      <c r="F21" s="41"/>
      <c r="G21" s="42" t="str">
        <f aca="false">IF(F21="","",ROUND((F21-B21)/B21,4))</f>
        <v/>
      </c>
      <c r="H21" s="42" t="str">
        <f aca="false">IF(F21="","",1-IMPOSTOS-CALCULO!B21/F21)</f>
        <v/>
      </c>
      <c r="I21" s="42" t="str">
        <f aca="false">IF(F21="","",H21-CALCULO!C21)</f>
        <v/>
      </c>
      <c r="J21" s="40" t="str">
        <f aca="false">IF(F21="","",ROUND(CALCULO!B21/(1-IMPOSTOS-H21-TAXA_3X),2))</f>
        <v/>
      </c>
      <c r="K21" s="40" t="str">
        <f aca="false">IF(F21="","",ROUND(CALCULO!B21/(1-IMPOSTOS-H21-TAXA_6X),2))</f>
        <v/>
      </c>
      <c r="L21" s="40" t="str">
        <f aca="false">IF(F21="","",ROUND(CALCULO!B21/(1-IMPOSTOS-H21-TAXA_10X),2))</f>
        <v/>
      </c>
    </row>
    <row r="22" customFormat="false" ht="15" hidden="false" customHeight="true" outlineLevel="0" collapsed="false">
      <c r="A22" s="8" t="n">
        <f aca="false">CALCULO!A22</f>
        <v>27098</v>
      </c>
      <c r="B22" s="40" t="n">
        <f aca="false">IF(CALCULO!D22="","",CALCULO!D22)</f>
        <v>0</v>
      </c>
      <c r="C22" s="40" t="n">
        <f aca="false">IF(CALCULO!E22="","",CALCULO!E22)</f>
        <v>0</v>
      </c>
      <c r="D22" s="40" t="n">
        <f aca="false">IF(CALCULO!F22="","",CALCULO!F22)</f>
        <v>0</v>
      </c>
      <c r="E22" s="40" t="n">
        <f aca="false">IF(CALCULO!G22="","",CALCULO!G22)</f>
        <v>0</v>
      </c>
      <c r="F22" s="41" t="n">
        <v>9800</v>
      </c>
      <c r="G22" s="42" t="e">
        <f aca="false">IF(F22="","",ROUND((F22-B22)/B22,4))</f>
        <v>#DIV/0!</v>
      </c>
      <c r="H22" s="42" t="n">
        <f aca="false">IF(F22="","",1-IMPOSTOS-CALCULO!B22/F22)</f>
        <v>0.7407</v>
      </c>
      <c r="I22" s="42" t="n">
        <f aca="false">IF(F22="","",H22-CALCULO!C22)</f>
        <v>0.4407</v>
      </c>
      <c r="J22" s="40" t="n">
        <f aca="false">IF(F22="","",ROUND(CALCULO!B22/(1-IMPOSTOS-H22-TAXA_3X),2))</f>
        <v>-0</v>
      </c>
      <c r="K22" s="40" t="n">
        <f aca="false">IF(F22="","",ROUND(CALCULO!B22/(1-IMPOSTOS-H22-TAXA_6X),2))</f>
        <v>-0</v>
      </c>
      <c r="L22" s="40" t="n">
        <f aca="false">IF(F22="","",ROUND(CALCULO!B22/(1-IMPOSTOS-H22-TAXA_10X),2))</f>
        <v>-0</v>
      </c>
    </row>
    <row r="23" customFormat="false" ht="15" hidden="false" customHeight="true" outlineLevel="0" collapsed="false">
      <c r="A23" s="8" t="n">
        <f aca="false">CALCULO!A23</f>
        <v>27099</v>
      </c>
      <c r="B23" s="40" t="str">
        <f aca="false">IF(CALCULO!D23="","",CALCULO!D23)</f>
        <v/>
      </c>
      <c r="C23" s="40" t="str">
        <f aca="false">IF(CALCULO!E23="","",CALCULO!E23)</f>
        <v/>
      </c>
      <c r="D23" s="40" t="str">
        <f aca="false">IF(CALCULO!F23="","",CALCULO!F23)</f>
        <v/>
      </c>
      <c r="E23" s="40" t="str">
        <f aca="false">IF(CALCULO!G23="","",CALCULO!G23)</f>
        <v/>
      </c>
      <c r="F23" s="41"/>
      <c r="G23" s="42" t="str">
        <f aca="false">IF(F23="","",ROUND((F23-B23)/B23,4))</f>
        <v/>
      </c>
      <c r="H23" s="42" t="str">
        <f aca="false">IF(F23="","",1-IMPOSTOS-CALCULO!B23/F23)</f>
        <v/>
      </c>
      <c r="I23" s="42" t="str">
        <f aca="false">IF(F23="","",H23-CALCULO!C23)</f>
        <v/>
      </c>
      <c r="J23" s="40" t="str">
        <f aca="false">IF(F23="","",ROUND(CALCULO!B23/(1-IMPOSTOS-H23-TAXA_3X),2))</f>
        <v/>
      </c>
      <c r="K23" s="40" t="str">
        <f aca="false">IF(F23="","",ROUND(CALCULO!B23/(1-IMPOSTOS-H23-TAXA_6X),2))</f>
        <v/>
      </c>
      <c r="L23" s="40" t="str">
        <f aca="false">IF(F23="","",ROUND(CALCULO!B23/(1-IMPOSTOS-H23-TAXA_10X),2))</f>
        <v/>
      </c>
    </row>
    <row r="24" customFormat="false" ht="15" hidden="false" customHeight="true" outlineLevel="0" collapsed="false">
      <c r="A24" s="8" t="n">
        <f aca="false">CALCULO!A24</f>
        <v>26882</v>
      </c>
      <c r="B24" s="40" t="n">
        <f aca="false">IF(CALCULO!D24="","",CALCULO!D24)</f>
        <v>0</v>
      </c>
      <c r="C24" s="40" t="n">
        <f aca="false">IF(CALCULO!E24="","",CALCULO!E24)</f>
        <v>0</v>
      </c>
      <c r="D24" s="40" t="n">
        <f aca="false">IF(CALCULO!F24="","",CALCULO!F24)</f>
        <v>0</v>
      </c>
      <c r="E24" s="40" t="n">
        <f aca="false">IF(CALCULO!G24="","",CALCULO!G24)</f>
        <v>0</v>
      </c>
      <c r="F24" s="41" t="n">
        <v>5870</v>
      </c>
      <c r="G24" s="42" t="e">
        <f aca="false">IF(F24="","",ROUND((F24-B24)/B24,4))</f>
        <v>#DIV/0!</v>
      </c>
      <c r="H24" s="42" t="n">
        <f aca="false">IF(F24="","",1-IMPOSTOS-CALCULO!B24/F24)</f>
        <v>0.7407</v>
      </c>
      <c r="I24" s="42" t="n">
        <f aca="false">IF(F24="","",H24-CALCULO!C24)</f>
        <v>0.4407</v>
      </c>
      <c r="J24" s="40" t="n">
        <f aca="false">IF(F24="","",ROUND(CALCULO!B24/(1-IMPOSTOS-H24-TAXA_3X),2))</f>
        <v>-0</v>
      </c>
      <c r="K24" s="40" t="n">
        <f aca="false">IF(F24="","",ROUND(CALCULO!B24/(1-IMPOSTOS-H24-TAXA_6X),2))</f>
        <v>-0</v>
      </c>
      <c r="L24" s="40" t="n">
        <f aca="false">IF(F24="","",ROUND(CALCULO!B24/(1-IMPOSTOS-H24-TAXA_10X),2))</f>
        <v>-0</v>
      </c>
    </row>
    <row r="25" customFormat="false" ht="15" hidden="false" customHeight="true" outlineLevel="0" collapsed="false">
      <c r="A25" s="8" t="n">
        <f aca="false">CALCULO!A25</f>
        <v>26881</v>
      </c>
      <c r="B25" s="40" t="str">
        <f aca="false">IF(CALCULO!D25="","",CALCULO!D25)</f>
        <v/>
      </c>
      <c r="C25" s="40" t="str">
        <f aca="false">IF(CALCULO!E25="","",CALCULO!E25)</f>
        <v/>
      </c>
      <c r="D25" s="40" t="str">
        <f aca="false">IF(CALCULO!F25="","",CALCULO!F25)</f>
        <v/>
      </c>
      <c r="E25" s="40" t="str">
        <f aca="false">IF(CALCULO!G25="","",CALCULO!G25)</f>
        <v/>
      </c>
      <c r="F25" s="41"/>
      <c r="G25" s="42" t="str">
        <f aca="false">IF(F25="","",ROUND((F25-B25)/B25,4))</f>
        <v/>
      </c>
      <c r="H25" s="42" t="str">
        <f aca="false">IF(F25="","",1-IMPOSTOS-CALCULO!B25/F25)</f>
        <v/>
      </c>
      <c r="I25" s="42" t="str">
        <f aca="false">IF(F25="","",H25-CALCULO!C25)</f>
        <v/>
      </c>
      <c r="J25" s="40" t="str">
        <f aca="false">IF(F25="","",ROUND(CALCULO!B25/(1-IMPOSTOS-H25-TAXA_3X),2))</f>
        <v/>
      </c>
      <c r="K25" s="40" t="str">
        <f aca="false">IF(F25="","",ROUND(CALCULO!B25/(1-IMPOSTOS-H25-TAXA_6X),2))</f>
        <v/>
      </c>
      <c r="L25" s="40" t="str">
        <f aca="false">IF(F25="","",ROUND(CALCULO!B25/(1-IMPOSTOS-H25-TAXA_10X),2))</f>
        <v/>
      </c>
    </row>
    <row r="26" customFormat="false" ht="15" hidden="false" customHeight="true" outlineLevel="0" collapsed="false">
      <c r="A26" s="8" t="n">
        <f aca="false">CALCULO!A26</f>
        <v>26834</v>
      </c>
      <c r="B26" s="40" t="str">
        <f aca="false">IF(CALCULO!D26="","",CALCULO!D26)</f>
        <v/>
      </c>
      <c r="C26" s="40" t="str">
        <f aca="false">IF(CALCULO!E26="","",CALCULO!E26)</f>
        <v/>
      </c>
      <c r="D26" s="40" t="str">
        <f aca="false">IF(CALCULO!F26="","",CALCULO!F26)</f>
        <v/>
      </c>
      <c r="E26" s="40" t="str">
        <f aca="false">IF(CALCULO!G26="","",CALCULO!G26)</f>
        <v/>
      </c>
      <c r="F26" s="41"/>
      <c r="G26" s="42" t="str">
        <f aca="false">IF(F26="","",ROUND((F26-B26)/B26,4))</f>
        <v/>
      </c>
      <c r="H26" s="42" t="str">
        <f aca="false">IF(F26="","",1-IMPOSTOS-CALCULO!B26/F26)</f>
        <v/>
      </c>
      <c r="I26" s="42" t="str">
        <f aca="false">IF(F26="","",H26-CALCULO!C26)</f>
        <v/>
      </c>
      <c r="J26" s="40" t="str">
        <f aca="false">IF(F26="","",ROUND(CALCULO!B26/(1-IMPOSTOS-H26-TAXA_3X),2))</f>
        <v/>
      </c>
      <c r="K26" s="40" t="str">
        <f aca="false">IF(F26="","",ROUND(CALCULO!B26/(1-IMPOSTOS-H26-TAXA_6X),2))</f>
        <v/>
      </c>
      <c r="L26" s="40" t="str">
        <f aca="false">IF(F26="","",ROUND(CALCULO!B26/(1-IMPOSTOS-H26-TAXA_10X),2))</f>
        <v/>
      </c>
    </row>
    <row r="27" customFormat="false" ht="15" hidden="false" customHeight="true" outlineLevel="0" collapsed="false">
      <c r="A27" s="8" t="n">
        <f aca="false">CALCULO!A27</f>
        <v>26890</v>
      </c>
      <c r="B27" s="40" t="n">
        <f aca="false">IF(CALCULO!D27="","",CALCULO!D27)</f>
        <v>0</v>
      </c>
      <c r="C27" s="40" t="n">
        <f aca="false">IF(CALCULO!E27="","",CALCULO!E27)</f>
        <v>0</v>
      </c>
      <c r="D27" s="40" t="n">
        <f aca="false">IF(CALCULO!F27="","",CALCULO!F27)</f>
        <v>0</v>
      </c>
      <c r="E27" s="40" t="n">
        <f aca="false">IF(CALCULO!G27="","",CALCULO!G27)</f>
        <v>0</v>
      </c>
      <c r="F27" s="41" t="n">
        <v>6235</v>
      </c>
      <c r="G27" s="42" t="e">
        <f aca="false">IF(F27="","",ROUND((F27-B27)/B27,4))</f>
        <v>#DIV/0!</v>
      </c>
      <c r="H27" s="42" t="n">
        <f aca="false">IF(F27="","",1-IMPOSTOS-CALCULO!B27/F27)</f>
        <v>0.7407</v>
      </c>
      <c r="I27" s="42" t="n">
        <f aca="false">IF(F27="","",H27-CALCULO!C27)</f>
        <v>0.4407</v>
      </c>
      <c r="J27" s="40" t="n">
        <f aca="false">IF(F27="","",ROUND(CALCULO!B27/(1-IMPOSTOS-H27-TAXA_3X),2))</f>
        <v>-0</v>
      </c>
      <c r="K27" s="40" t="n">
        <f aca="false">IF(F27="","",ROUND(CALCULO!B27/(1-IMPOSTOS-H27-TAXA_6X),2))</f>
        <v>-0</v>
      </c>
      <c r="L27" s="40" t="n">
        <f aca="false">IF(F27="","",ROUND(CALCULO!B27/(1-IMPOSTOS-H27-TAXA_10X),2))</f>
        <v>-0</v>
      </c>
    </row>
    <row r="28" customFormat="false" ht="15" hidden="false" customHeight="true" outlineLevel="0" collapsed="false">
      <c r="A28" s="8" t="n">
        <f aca="false">CALCULO!A28</f>
        <v>26891</v>
      </c>
      <c r="B28" s="40" t="str">
        <f aca="false">IF(CALCULO!D28="","",CALCULO!D28)</f>
        <v/>
      </c>
      <c r="C28" s="40" t="str">
        <f aca="false">IF(CALCULO!E28="","",CALCULO!E28)</f>
        <v/>
      </c>
      <c r="D28" s="40" t="str">
        <f aca="false">IF(CALCULO!F28="","",CALCULO!F28)</f>
        <v/>
      </c>
      <c r="E28" s="40" t="str">
        <f aca="false">IF(CALCULO!G28="","",CALCULO!G28)</f>
        <v/>
      </c>
      <c r="F28" s="41"/>
      <c r="G28" s="42" t="str">
        <f aca="false">IF(F28="","",ROUND((F28-B28)/B28,4))</f>
        <v/>
      </c>
      <c r="H28" s="42" t="str">
        <f aca="false">IF(F28="","",1-IMPOSTOS-CALCULO!B28/F28)</f>
        <v/>
      </c>
      <c r="I28" s="42" t="str">
        <f aca="false">IF(F28="","",H28-CALCULO!C28)</f>
        <v/>
      </c>
      <c r="J28" s="40" t="str">
        <f aca="false">IF(F28="","",ROUND(CALCULO!B28/(1-IMPOSTOS-H28-TAXA_3X),2))</f>
        <v/>
      </c>
      <c r="K28" s="40" t="str">
        <f aca="false">IF(F28="","",ROUND(CALCULO!B28/(1-IMPOSTOS-H28-TAXA_6X),2))</f>
        <v/>
      </c>
      <c r="L28" s="40" t="str">
        <f aca="false">IF(F28="","",ROUND(CALCULO!B28/(1-IMPOSTOS-H28-TAXA_10X),2))</f>
        <v/>
      </c>
    </row>
    <row r="29" customFormat="false" ht="15" hidden="false" customHeight="true" outlineLevel="0" collapsed="false">
      <c r="A29" s="8" t="n">
        <f aca="false">CALCULO!A29</f>
        <v>26834</v>
      </c>
      <c r="B29" s="40" t="str">
        <f aca="false">IF(CALCULO!D29="","",CALCULO!D29)</f>
        <v/>
      </c>
      <c r="C29" s="40" t="str">
        <f aca="false">IF(CALCULO!E29="","",CALCULO!E29)</f>
        <v/>
      </c>
      <c r="D29" s="40" t="str">
        <f aca="false">IF(CALCULO!F29="","",CALCULO!F29)</f>
        <v/>
      </c>
      <c r="E29" s="40" t="str">
        <f aca="false">IF(CALCULO!G29="","",CALCULO!G29)</f>
        <v/>
      </c>
      <c r="F29" s="41"/>
      <c r="G29" s="42" t="str">
        <f aca="false">IF(F29="","",ROUND((F29-B29)/B29,4))</f>
        <v/>
      </c>
      <c r="H29" s="42" t="str">
        <f aca="false">IF(F29="","",1-IMPOSTOS-CALCULO!B29/F29)</f>
        <v/>
      </c>
      <c r="I29" s="42" t="str">
        <f aca="false">IF(F29="","",H29-CALCULO!C29)</f>
        <v/>
      </c>
      <c r="J29" s="40" t="str">
        <f aca="false">IF(F29="","",ROUND(CALCULO!B29/(1-IMPOSTOS-H29-TAXA_3X),2))</f>
        <v/>
      </c>
      <c r="K29" s="40" t="str">
        <f aca="false">IF(F29="","",ROUND(CALCULO!B29/(1-IMPOSTOS-H29-TAXA_6X),2))</f>
        <v/>
      </c>
      <c r="L29" s="40" t="str">
        <f aca="false">IF(F29="","",ROUND(CALCULO!B29/(1-IMPOSTOS-H29-TAXA_10X),2))</f>
        <v/>
      </c>
    </row>
    <row r="30" customFormat="false" ht="15" hidden="false" customHeight="true" outlineLevel="0" collapsed="false">
      <c r="A30" s="8" t="n">
        <f aca="false">CALCULO!A30</f>
        <v>26892</v>
      </c>
      <c r="B30" s="40" t="n">
        <f aca="false">IF(CALCULO!D30="","",CALCULO!D30)</f>
        <v>0</v>
      </c>
      <c r="C30" s="40" t="n">
        <f aca="false">IF(CALCULO!E30="","",CALCULO!E30)</f>
        <v>0</v>
      </c>
      <c r="D30" s="40" t="n">
        <f aca="false">IF(CALCULO!F30="","",CALCULO!F30)</f>
        <v>0</v>
      </c>
      <c r="E30" s="40" t="n">
        <f aca="false">IF(CALCULO!G30="","",CALCULO!G30)</f>
        <v>0</v>
      </c>
      <c r="F30" s="41" t="n">
        <v>7450</v>
      </c>
      <c r="G30" s="42" t="e">
        <f aca="false">IF(F30="","",ROUND((F30-B30)/B30,4))</f>
        <v>#DIV/0!</v>
      </c>
      <c r="H30" s="42" t="n">
        <f aca="false">IF(F30="","",1-IMPOSTOS-CALCULO!B30/F30)</f>
        <v>0.7407</v>
      </c>
      <c r="I30" s="42" t="n">
        <f aca="false">IF(F30="","",H30-CALCULO!C30)</f>
        <v>0.4407</v>
      </c>
      <c r="J30" s="40" t="n">
        <f aca="false">IF(F30="","",ROUND(CALCULO!B30/(1-IMPOSTOS-H30-TAXA_3X),2))</f>
        <v>-0</v>
      </c>
      <c r="K30" s="40" t="n">
        <f aca="false">IF(F30="","",ROUND(CALCULO!B30/(1-IMPOSTOS-H30-TAXA_6X),2))</f>
        <v>-0</v>
      </c>
      <c r="L30" s="40" t="n">
        <f aca="false">IF(F30="","",ROUND(CALCULO!B30/(1-IMPOSTOS-H30-TAXA_10X),2))</f>
        <v>-0</v>
      </c>
    </row>
    <row r="31" customFormat="false" ht="15" hidden="false" customHeight="true" outlineLevel="0" collapsed="false">
      <c r="A31" s="8" t="n">
        <f aca="false">CALCULO!A31</f>
        <v>26893</v>
      </c>
      <c r="B31" s="40" t="str">
        <f aca="false">IF(CALCULO!D31="","",CALCULO!D31)</f>
        <v/>
      </c>
      <c r="C31" s="40" t="str">
        <f aca="false">IF(CALCULO!E31="","",CALCULO!E31)</f>
        <v/>
      </c>
      <c r="D31" s="40" t="str">
        <f aca="false">IF(CALCULO!F31="","",CALCULO!F31)</f>
        <v/>
      </c>
      <c r="E31" s="40" t="str">
        <f aca="false">IF(CALCULO!G31="","",CALCULO!G31)</f>
        <v/>
      </c>
      <c r="F31" s="41"/>
      <c r="G31" s="42" t="str">
        <f aca="false">IF(F31="","",ROUND((F31-B31)/B31,4))</f>
        <v/>
      </c>
      <c r="H31" s="42" t="str">
        <f aca="false">IF(F31="","",1-IMPOSTOS-CALCULO!B31/F31)</f>
        <v/>
      </c>
      <c r="I31" s="42" t="str">
        <f aca="false">IF(F31="","",H31-CALCULO!C31)</f>
        <v/>
      </c>
      <c r="J31" s="40" t="str">
        <f aca="false">IF(F31="","",ROUND(CALCULO!B31/(1-IMPOSTOS-H31-TAXA_3X),2))</f>
        <v/>
      </c>
      <c r="K31" s="40" t="str">
        <f aca="false">IF(F31="","",ROUND(CALCULO!B31/(1-IMPOSTOS-H31-TAXA_6X),2))</f>
        <v/>
      </c>
      <c r="L31" s="40" t="str">
        <f aca="false">IF(F31="","",ROUND(CALCULO!B31/(1-IMPOSTOS-H31-TAXA_10X),2))</f>
        <v/>
      </c>
    </row>
    <row r="32" customFormat="false" ht="15" hidden="false" customHeight="true" outlineLevel="0" collapsed="false">
      <c r="A32" s="8" t="n">
        <f aca="false">CALCULO!A32</f>
        <v>26834</v>
      </c>
      <c r="B32" s="40" t="str">
        <f aca="false">IF(CALCULO!D32="","",CALCULO!D32)</f>
        <v/>
      </c>
      <c r="C32" s="40" t="str">
        <f aca="false">IF(CALCULO!E32="","",CALCULO!E32)</f>
        <v/>
      </c>
      <c r="D32" s="40" t="str">
        <f aca="false">IF(CALCULO!F32="","",CALCULO!F32)</f>
        <v/>
      </c>
      <c r="E32" s="40" t="str">
        <f aca="false">IF(CALCULO!G32="","",CALCULO!G32)</f>
        <v/>
      </c>
      <c r="F32" s="41"/>
      <c r="G32" s="42" t="str">
        <f aca="false">IF(F32="","",ROUND((F32-B32)/B32,4))</f>
        <v/>
      </c>
      <c r="H32" s="42" t="str">
        <f aca="false">IF(F32="","",1-IMPOSTOS-CALCULO!B32/F32)</f>
        <v/>
      </c>
      <c r="I32" s="42" t="str">
        <f aca="false">IF(F32="","",H32-CALCULO!C32)</f>
        <v/>
      </c>
      <c r="J32" s="40" t="str">
        <f aca="false">IF(F32="","",ROUND(CALCULO!B32/(1-IMPOSTOS-H32-TAXA_3X),2))</f>
        <v/>
      </c>
      <c r="K32" s="40" t="str">
        <f aca="false">IF(F32="","",ROUND(CALCULO!B32/(1-IMPOSTOS-H32-TAXA_6X),2))</f>
        <v/>
      </c>
      <c r="L32" s="40" t="str">
        <f aca="false">IF(F32="","",ROUND(CALCULO!B32/(1-IMPOSTOS-H32-TAXA_10X),2))</f>
        <v/>
      </c>
    </row>
    <row r="33" customFormat="false" ht="15" hidden="false" customHeight="true" outlineLevel="0" collapsed="false">
      <c r="A33" s="8" t="n">
        <f aca="false">CALCULO!A33</f>
        <v>25721</v>
      </c>
      <c r="B33" s="40" t="n">
        <f aca="false">IF(CALCULO!D33="","",CALCULO!D33)</f>
        <v>9023.64</v>
      </c>
      <c r="C33" s="40" t="n">
        <f aca="false">IF(CALCULO!E33="","",CALCULO!E33)</f>
        <v>10024.5</v>
      </c>
      <c r="D33" s="40" t="n">
        <f aca="false">IF(CALCULO!F33="","",CALCULO!F33)</f>
        <v>10567.95</v>
      </c>
      <c r="E33" s="40" t="n">
        <f aca="false">IF(CALCULO!G33="","",CALCULO!G33)</f>
        <v>11967.26</v>
      </c>
      <c r="F33" s="41" t="n">
        <v>7123</v>
      </c>
      <c r="G33" s="42" t="n">
        <f aca="false">IF(F33="","",ROUND((F33-B33)/B33,4))</f>
        <v>-0.2106</v>
      </c>
      <c r="H33" s="42" t="n">
        <f aca="false">IF(F33="","",1-IMPOSTOS-CALCULO!B33/F33)</f>
        <v>0.182407145865506</v>
      </c>
      <c r="I33" s="42" t="n">
        <f aca="false">IF(F33="","",H33-CALCULO!C33)</f>
        <v>-0.117592854134494</v>
      </c>
      <c r="J33" s="40" t="n">
        <f aca="false">IF(F33="","",ROUND(CALCULO!B33/(1-IMPOSTOS-H33-TAXA_3X),2))</f>
        <v>7732.4</v>
      </c>
      <c r="K33" s="40" t="n">
        <f aca="false">IF(F33="","",ROUND(CALCULO!B33/(1-IMPOSTOS-H33-TAXA_6X),2))</f>
        <v>8051.79</v>
      </c>
      <c r="L33" s="40" t="n">
        <f aca="false">IF(F33="","",ROUND(CALCULO!B33/(1-IMPOSTOS-H33-TAXA_10X),2))</f>
        <v>8839.26</v>
      </c>
    </row>
    <row r="34" customFormat="false" ht="15" hidden="false" customHeight="true" outlineLevel="0" collapsed="false">
      <c r="A34" s="8" t="n">
        <f aca="false">CALCULO!A34</f>
        <v>25720</v>
      </c>
      <c r="B34" s="40" t="str">
        <f aca="false">IF(CALCULO!D34="","",CALCULO!D34)</f>
        <v/>
      </c>
      <c r="C34" s="40" t="str">
        <f aca="false">IF(CALCULO!E34="","",CALCULO!E34)</f>
        <v/>
      </c>
      <c r="D34" s="40" t="str">
        <f aca="false">IF(CALCULO!F34="","",CALCULO!F34)</f>
        <v/>
      </c>
      <c r="E34" s="40" t="str">
        <f aca="false">IF(CALCULO!G34="","",CALCULO!G34)</f>
        <v/>
      </c>
      <c r="F34" s="41"/>
      <c r="G34" s="42" t="str">
        <f aca="false">IF(F34="","",ROUND((F34-B34)/B34,4))</f>
        <v/>
      </c>
      <c r="H34" s="42" t="str">
        <f aca="false">IF(F34="","",1-IMPOSTOS-CALCULO!B34/F34)</f>
        <v/>
      </c>
      <c r="I34" s="42" t="str">
        <f aca="false">IF(F34="","",H34-CALCULO!C34)</f>
        <v/>
      </c>
      <c r="J34" s="40" t="str">
        <f aca="false">IF(F34="","",ROUND(CALCULO!B34/(1-IMPOSTOS-H34-TAXA_3X),2))</f>
        <v/>
      </c>
      <c r="K34" s="40" t="str">
        <f aca="false">IF(F34="","",ROUND(CALCULO!B34/(1-IMPOSTOS-H34-TAXA_6X),2))</f>
        <v/>
      </c>
      <c r="L34" s="40" t="str">
        <f aca="false">IF(F34="","",ROUND(CALCULO!B34/(1-IMPOSTOS-H34-TAXA_10X),2))</f>
        <v/>
      </c>
    </row>
    <row r="35" customFormat="false" ht="15" hidden="false" customHeight="true" outlineLevel="0" collapsed="false">
      <c r="A35" s="8" t="n">
        <f aca="false">CALCULO!A35</f>
        <v>25722</v>
      </c>
      <c r="B35" s="40" t="str">
        <f aca="false">IF(CALCULO!D35="","",CALCULO!D35)</f>
        <v/>
      </c>
      <c r="C35" s="40" t="str">
        <f aca="false">IF(CALCULO!E35="","",CALCULO!E35)</f>
        <v/>
      </c>
      <c r="D35" s="40" t="str">
        <f aca="false">IF(CALCULO!F35="","",CALCULO!F35)</f>
        <v/>
      </c>
      <c r="E35" s="40" t="str">
        <f aca="false">IF(CALCULO!G35="","",CALCULO!G35)</f>
        <v/>
      </c>
      <c r="F35" s="41"/>
      <c r="G35" s="42" t="str">
        <f aca="false">IF(F35="","",ROUND((F35-B35)/B35,4))</f>
        <v/>
      </c>
      <c r="H35" s="42" t="str">
        <f aca="false">IF(F35="","",1-IMPOSTOS-CALCULO!B35/F35)</f>
        <v/>
      </c>
      <c r="I35" s="42" t="str">
        <f aca="false">IF(F35="","",H35-CALCULO!C35)</f>
        <v/>
      </c>
      <c r="J35" s="40" t="str">
        <f aca="false">IF(F35="","",ROUND(CALCULO!B35/(1-IMPOSTOS-H35-TAXA_3X),2))</f>
        <v/>
      </c>
      <c r="K35" s="40" t="str">
        <f aca="false">IF(F35="","",ROUND(CALCULO!B35/(1-IMPOSTOS-H35-TAXA_6X),2))</f>
        <v/>
      </c>
      <c r="L35" s="40" t="str">
        <f aca="false">IF(F35="","",ROUND(CALCULO!B35/(1-IMPOSTOS-H35-TAXA_10X),2))</f>
        <v/>
      </c>
    </row>
    <row r="36" customFormat="false" ht="15" hidden="false" customHeight="true" outlineLevel="0" collapsed="false">
      <c r="A36" s="8" t="n">
        <f aca="false">CALCULO!A36</f>
        <v>25937</v>
      </c>
      <c r="B36" s="40" t="n">
        <f aca="false">IF(CALCULO!D36="","",CALCULO!D36)</f>
        <v>9023.64</v>
      </c>
      <c r="C36" s="40" t="n">
        <f aca="false">IF(CALCULO!E36="","",CALCULO!E36)</f>
        <v>10024.5</v>
      </c>
      <c r="D36" s="40" t="n">
        <f aca="false">IF(CALCULO!F36="","",CALCULO!F36)</f>
        <v>10567.95</v>
      </c>
      <c r="E36" s="40" t="n">
        <f aca="false">IF(CALCULO!G36="","",CALCULO!G36)</f>
        <v>11967.26</v>
      </c>
      <c r="F36" s="41" t="n">
        <v>7123</v>
      </c>
      <c r="G36" s="42" t="n">
        <f aca="false">IF(F36="","",ROUND((F36-B36)/B36,4))</f>
        <v>-0.2106</v>
      </c>
      <c r="H36" s="42" t="n">
        <f aca="false">IF(F36="","",1-IMPOSTOS-CALCULO!B36/F36)</f>
        <v>0.182407145865506</v>
      </c>
      <c r="I36" s="42" t="n">
        <f aca="false">IF(F36="","",H36-CALCULO!C36)</f>
        <v>-0.117592854134494</v>
      </c>
      <c r="J36" s="40" t="n">
        <f aca="false">IF(F36="","",ROUND(CALCULO!B36/(1-IMPOSTOS-H36-TAXA_3X),2))</f>
        <v>7732.4</v>
      </c>
      <c r="K36" s="40" t="n">
        <f aca="false">IF(F36="","",ROUND(CALCULO!B36/(1-IMPOSTOS-H36-TAXA_6X),2))</f>
        <v>8051.79</v>
      </c>
      <c r="L36" s="40" t="n">
        <f aca="false">IF(F36="","",ROUND(CALCULO!B36/(1-IMPOSTOS-H36-TAXA_10X),2))</f>
        <v>8839.26</v>
      </c>
    </row>
    <row r="37" customFormat="false" ht="15" hidden="false" customHeight="true" outlineLevel="0" collapsed="false">
      <c r="A37" s="8" t="n">
        <f aca="false">CALCULO!A37</f>
        <v>25936</v>
      </c>
      <c r="B37" s="40" t="str">
        <f aca="false">IF(CALCULO!D37="","",CALCULO!D37)</f>
        <v/>
      </c>
      <c r="C37" s="40" t="str">
        <f aca="false">IF(CALCULO!E37="","",CALCULO!E37)</f>
        <v/>
      </c>
      <c r="D37" s="40" t="str">
        <f aca="false">IF(CALCULO!F37="","",CALCULO!F37)</f>
        <v/>
      </c>
      <c r="E37" s="40" t="str">
        <f aca="false">IF(CALCULO!G37="","",CALCULO!G37)</f>
        <v/>
      </c>
      <c r="F37" s="41"/>
      <c r="G37" s="42" t="str">
        <f aca="false">IF(F37="","",ROUND((F37-B37)/B37,4))</f>
        <v/>
      </c>
      <c r="H37" s="42" t="str">
        <f aca="false">IF(F37="","",1-IMPOSTOS-CALCULO!B37/F37)</f>
        <v/>
      </c>
      <c r="I37" s="42" t="str">
        <f aca="false">IF(F37="","",H37-CALCULO!C37)</f>
        <v/>
      </c>
      <c r="J37" s="40" t="str">
        <f aca="false">IF(F37="","",ROUND(CALCULO!B37/(1-IMPOSTOS-H37-TAXA_3X),2))</f>
        <v/>
      </c>
      <c r="K37" s="40" t="str">
        <f aca="false">IF(F37="","",ROUND(CALCULO!B37/(1-IMPOSTOS-H37-TAXA_6X),2))</f>
        <v/>
      </c>
      <c r="L37" s="40" t="str">
        <f aca="false">IF(F37="","",ROUND(CALCULO!B37/(1-IMPOSTOS-H37-TAXA_10X),2))</f>
        <v/>
      </c>
    </row>
    <row r="38" customFormat="false" ht="15" hidden="false" customHeight="true" outlineLevel="0" collapsed="false">
      <c r="A38" s="8" t="n">
        <f aca="false">CALCULO!A38</f>
        <v>25938</v>
      </c>
      <c r="B38" s="40" t="str">
        <f aca="false">IF(CALCULO!D38="","",CALCULO!D38)</f>
        <v/>
      </c>
      <c r="C38" s="40" t="str">
        <f aca="false">IF(CALCULO!E38="","",CALCULO!E38)</f>
        <v/>
      </c>
      <c r="D38" s="40" t="str">
        <f aca="false">IF(CALCULO!F38="","",CALCULO!F38)</f>
        <v/>
      </c>
      <c r="E38" s="40" t="str">
        <f aca="false">IF(CALCULO!G38="","",CALCULO!G38)</f>
        <v/>
      </c>
      <c r="F38" s="41"/>
      <c r="G38" s="42" t="str">
        <f aca="false">IF(F38="","",ROUND((F38-B38)/B38,4))</f>
        <v/>
      </c>
      <c r="H38" s="42" t="str">
        <f aca="false">IF(F38="","",1-IMPOSTOS-CALCULO!B38/F38)</f>
        <v/>
      </c>
      <c r="I38" s="42" t="str">
        <f aca="false">IF(F38="","",H38-CALCULO!C38)</f>
        <v/>
      </c>
      <c r="J38" s="40" t="str">
        <f aca="false">IF(F38="","",ROUND(CALCULO!B38/(1-IMPOSTOS-H38-TAXA_3X),2))</f>
        <v/>
      </c>
      <c r="K38" s="40" t="str">
        <f aca="false">IF(F38="","",ROUND(CALCULO!B38/(1-IMPOSTOS-H38-TAXA_6X),2))</f>
        <v/>
      </c>
      <c r="L38" s="40" t="str">
        <f aca="false">IF(F38="","",ROUND(CALCULO!B38/(1-IMPOSTOS-H38-TAXA_10X),2))</f>
        <v/>
      </c>
    </row>
    <row r="39" customFormat="false" ht="15" hidden="false" customHeight="true" outlineLevel="0" collapsed="false">
      <c r="A39" s="8" t="n">
        <f aca="false">CALCULO!A39</f>
        <v>25930</v>
      </c>
      <c r="B39" s="40" t="n">
        <f aca="false">IF(CALCULO!D39="","",CALCULO!D39)</f>
        <v>13939.82</v>
      </c>
      <c r="C39" s="40" t="n">
        <f aca="false">IF(CALCULO!E39="","",CALCULO!E39)</f>
        <v>15485.96</v>
      </c>
      <c r="D39" s="40" t="n">
        <f aca="false">IF(CALCULO!F39="","",CALCULO!F39)</f>
        <v>16325.48</v>
      </c>
      <c r="E39" s="40" t="n">
        <f aca="false">IF(CALCULO!G39="","",CALCULO!G39)</f>
        <v>18487.15</v>
      </c>
      <c r="F39" s="41" t="n">
        <v>9730</v>
      </c>
      <c r="G39" s="42" t="n">
        <f aca="false">IF(F39="","",ROUND((F39-B39)/B39,4))</f>
        <v>-0.302</v>
      </c>
      <c r="H39" s="42" t="n">
        <f aca="false">IF(F39="","",1-IMPOSTOS-CALCULO!B39/F39)</f>
        <v>0.109324871531346</v>
      </c>
      <c r="I39" s="42" t="n">
        <f aca="false">IF(F39="","",H39-CALCULO!C39)</f>
        <v>-0.190675128468654</v>
      </c>
      <c r="J39" s="40" t="n">
        <f aca="false">IF(F39="","",ROUND(CALCULO!B39/(1-IMPOSTOS-H39-TAXA_3X),2))</f>
        <v>10458.87</v>
      </c>
      <c r="K39" s="40" t="n">
        <f aca="false">IF(F39="","",ROUND(CALCULO!B39/(1-IMPOSTOS-H39-TAXA_6X),2))</f>
        <v>10835.18</v>
      </c>
      <c r="L39" s="40" t="n">
        <f aca="false">IF(F39="","",ROUND(CALCULO!B39/(1-IMPOSTOS-H39-TAXA_10X),2))</f>
        <v>11746.79</v>
      </c>
    </row>
    <row r="40" customFormat="false" ht="15" hidden="false" customHeight="true" outlineLevel="0" collapsed="false">
      <c r="A40" s="8" t="n">
        <f aca="false">CALCULO!A40</f>
        <v>25929</v>
      </c>
      <c r="B40" s="40" t="str">
        <f aca="false">IF(CALCULO!D40="","",CALCULO!D40)</f>
        <v/>
      </c>
      <c r="C40" s="40" t="str">
        <f aca="false">IF(CALCULO!E40="","",CALCULO!E40)</f>
        <v/>
      </c>
      <c r="D40" s="40" t="str">
        <f aca="false">IF(CALCULO!F40="","",CALCULO!F40)</f>
        <v/>
      </c>
      <c r="E40" s="40" t="str">
        <f aca="false">IF(CALCULO!G40="","",CALCULO!G40)</f>
        <v/>
      </c>
      <c r="F40" s="41"/>
      <c r="G40" s="42" t="str">
        <f aca="false">IF(F40="","",ROUND((F40-B40)/B40,4))</f>
        <v/>
      </c>
      <c r="H40" s="42" t="str">
        <f aca="false">IF(F40="","",1-IMPOSTOS-CALCULO!B40/F40)</f>
        <v/>
      </c>
      <c r="I40" s="42" t="str">
        <f aca="false">IF(F40="","",H40-CALCULO!C40)</f>
        <v/>
      </c>
      <c r="J40" s="40" t="str">
        <f aca="false">IF(F40="","",ROUND(CALCULO!B40/(1-IMPOSTOS-H40-TAXA_3X),2))</f>
        <v/>
      </c>
      <c r="K40" s="40" t="str">
        <f aca="false">IF(F40="","",ROUND(CALCULO!B40/(1-IMPOSTOS-H40-TAXA_6X),2))</f>
        <v/>
      </c>
      <c r="L40" s="40" t="str">
        <f aca="false">IF(F40="","",ROUND(CALCULO!B40/(1-IMPOSTOS-H40-TAXA_10X),2))</f>
        <v/>
      </c>
    </row>
    <row r="41" customFormat="false" ht="15" hidden="false" customHeight="true" outlineLevel="0" collapsed="false">
      <c r="A41" s="8" t="n">
        <f aca="false">CALCULO!A41</f>
        <v>25931</v>
      </c>
      <c r="B41" s="40" t="str">
        <f aca="false">IF(CALCULO!D41="","",CALCULO!D41)</f>
        <v/>
      </c>
      <c r="C41" s="40" t="str">
        <f aca="false">IF(CALCULO!E41="","",CALCULO!E41)</f>
        <v/>
      </c>
      <c r="D41" s="40" t="str">
        <f aca="false">IF(CALCULO!F41="","",CALCULO!F41)</f>
        <v/>
      </c>
      <c r="E41" s="40" t="str">
        <f aca="false">IF(CALCULO!G41="","",CALCULO!G41)</f>
        <v/>
      </c>
      <c r="F41" s="41"/>
      <c r="G41" s="42" t="str">
        <f aca="false">IF(F41="","",ROUND((F41-B41)/B41,4))</f>
        <v/>
      </c>
      <c r="H41" s="42" t="str">
        <f aca="false">IF(F41="","",1-IMPOSTOS-CALCULO!B41/F41)</f>
        <v/>
      </c>
      <c r="I41" s="42" t="str">
        <f aca="false">IF(F41="","",H41-CALCULO!C41)</f>
        <v/>
      </c>
      <c r="J41" s="40" t="str">
        <f aca="false">IF(F41="","",ROUND(CALCULO!B41/(1-IMPOSTOS-H41-TAXA_3X),2))</f>
        <v/>
      </c>
      <c r="K41" s="40" t="str">
        <f aca="false">IF(F41="","",ROUND(CALCULO!B41/(1-IMPOSTOS-H41-TAXA_6X),2))</f>
        <v/>
      </c>
      <c r="L41" s="40" t="str">
        <f aca="false">IF(F41="","",ROUND(CALCULO!B41/(1-IMPOSTOS-H41-TAXA_10X),2))</f>
        <v/>
      </c>
    </row>
    <row r="42" customFormat="false" ht="15" hidden="false" customHeight="true" outlineLevel="0" collapsed="false">
      <c r="A42" s="8" t="n">
        <f aca="false">CALCULO!A42</f>
        <v>25924</v>
      </c>
      <c r="B42" s="40" t="n">
        <f aca="false">IF(CALCULO!D42="","",CALCULO!D42)</f>
        <v>1672.78</v>
      </c>
      <c r="C42" s="40" t="n">
        <f aca="false">IF(CALCULO!E42="","",CALCULO!E42)</f>
        <v>1858.32</v>
      </c>
      <c r="D42" s="40" t="n">
        <f aca="false">IF(CALCULO!F42="","",CALCULO!F42)</f>
        <v>1959.06</v>
      </c>
      <c r="E42" s="40" t="n">
        <f aca="false">IF(CALCULO!G42="","",CALCULO!G42)</f>
        <v>2218.46</v>
      </c>
      <c r="F42" s="41" t="n">
        <v>11630</v>
      </c>
      <c r="G42" s="42" t="n">
        <f aca="false">IF(F42="","",ROUND((F42-B42)/B42,4))</f>
        <v>5.9525</v>
      </c>
      <c r="H42" s="42" t="n">
        <f aca="false">IF(F42="","",1-IMPOSTOS-CALCULO!B42/F42)</f>
        <v>0.677312760103181</v>
      </c>
      <c r="I42" s="42" t="n">
        <f aca="false">IF(F42="","",H42-CALCULO!C42)</f>
        <v>0.377312760103181</v>
      </c>
      <c r="J42" s="40" t="n">
        <f aca="false">IF(F42="","",ROUND(CALCULO!B42/(1-IMPOSTOS-H42-TAXA_3X),2))</f>
        <v>38024.68</v>
      </c>
      <c r="K42" s="40" t="n">
        <f aca="false">IF(F42="","",ROUND(CALCULO!B42/(1-IMPOSTOS-H42-TAXA_6X),2))</f>
        <v>-727905.45</v>
      </c>
      <c r="L42" s="40" t="n">
        <f aca="false">IF(F42="","",ROUND(CALCULO!B42/(1-IMPOSTOS-H42-TAXA_10X),2))</f>
        <v>-16377.44</v>
      </c>
    </row>
    <row r="43" customFormat="false" ht="15" hidden="false" customHeight="true" outlineLevel="0" collapsed="false">
      <c r="A43" s="8" t="n">
        <f aca="false">CALCULO!A43</f>
        <v>25923</v>
      </c>
      <c r="B43" s="40" t="str">
        <f aca="false">IF(CALCULO!D43="","",CALCULO!D43)</f>
        <v/>
      </c>
      <c r="C43" s="40" t="str">
        <f aca="false">IF(CALCULO!E43="","",CALCULO!E43)</f>
        <v/>
      </c>
      <c r="D43" s="40" t="str">
        <f aca="false">IF(CALCULO!F43="","",CALCULO!F43)</f>
        <v/>
      </c>
      <c r="E43" s="40" t="str">
        <f aca="false">IF(CALCULO!G43="","",CALCULO!G43)</f>
        <v/>
      </c>
      <c r="F43" s="41"/>
      <c r="G43" s="42" t="str">
        <f aca="false">IF(F43="","",ROUND((F43-B43)/B43,4))</f>
        <v/>
      </c>
      <c r="H43" s="42" t="str">
        <f aca="false">IF(F43="","",1-IMPOSTOS-CALCULO!B43/F43)</f>
        <v/>
      </c>
      <c r="I43" s="42" t="str">
        <f aca="false">IF(F43="","",H43-CALCULO!C43)</f>
        <v/>
      </c>
      <c r="J43" s="40" t="str">
        <f aca="false">IF(F43="","",ROUND(CALCULO!B43/(1-IMPOSTOS-H43-TAXA_3X),2))</f>
        <v/>
      </c>
      <c r="K43" s="40" t="str">
        <f aca="false">IF(F43="","",ROUND(CALCULO!B43/(1-IMPOSTOS-H43-TAXA_6X),2))</f>
        <v/>
      </c>
      <c r="L43" s="40" t="str">
        <f aca="false">IF(F43="","",ROUND(CALCULO!B43/(1-IMPOSTOS-H43-TAXA_10X),2))</f>
        <v/>
      </c>
    </row>
    <row r="44" customFormat="false" ht="15" hidden="false" customHeight="true" outlineLevel="0" collapsed="false">
      <c r="A44" s="8" t="n">
        <f aca="false">CALCULO!A44</f>
        <v>25925</v>
      </c>
      <c r="B44" s="40" t="str">
        <f aca="false">IF(CALCULO!D44="","",CALCULO!D44)</f>
        <v/>
      </c>
      <c r="C44" s="40" t="str">
        <f aca="false">IF(CALCULO!E44="","",CALCULO!E44)</f>
        <v/>
      </c>
      <c r="D44" s="40" t="str">
        <f aca="false">IF(CALCULO!F44="","",CALCULO!F44)</f>
        <v/>
      </c>
      <c r="E44" s="40" t="str">
        <f aca="false">IF(CALCULO!G44="","",CALCULO!G44)</f>
        <v/>
      </c>
      <c r="F44" s="41"/>
      <c r="G44" s="42" t="str">
        <f aca="false">IF(F44="","",ROUND((F44-B44)/B44,4))</f>
        <v/>
      </c>
      <c r="H44" s="42" t="str">
        <f aca="false">IF(F44="","",1-IMPOSTOS-CALCULO!B44/F44)</f>
        <v/>
      </c>
      <c r="I44" s="42" t="str">
        <f aca="false">IF(F44="","",H44-CALCULO!C44)</f>
        <v/>
      </c>
      <c r="J44" s="40" t="str">
        <f aca="false">IF(F44="","",ROUND(CALCULO!B44/(1-IMPOSTOS-H44-TAXA_3X),2))</f>
        <v/>
      </c>
      <c r="K44" s="40" t="str">
        <f aca="false">IF(F44="","",ROUND(CALCULO!B44/(1-IMPOSTOS-H44-TAXA_6X),2))</f>
        <v/>
      </c>
      <c r="L44" s="40" t="str">
        <f aca="false">IF(F44="","",ROUND(CALCULO!B44/(1-IMPOSTOS-H44-TAXA_10X),2))</f>
        <v/>
      </c>
    </row>
    <row r="45" customFormat="false" ht="15" hidden="false" customHeight="true" outlineLevel="0" collapsed="false">
      <c r="A45" s="8" t="n">
        <f aca="false">CALCULO!A45</f>
        <v>23392</v>
      </c>
      <c r="B45" s="40" t="n">
        <f aca="false">IF(CALCULO!D45="","",CALCULO!D45)</f>
        <v>0</v>
      </c>
      <c r="C45" s="40" t="n">
        <f aca="false">IF(CALCULO!E45="","",CALCULO!E45)</f>
        <v>0</v>
      </c>
      <c r="D45" s="40" t="n">
        <f aca="false">IF(CALCULO!F45="","",CALCULO!F45)</f>
        <v>0</v>
      </c>
      <c r="E45" s="40" t="n">
        <f aca="false">IF(CALCULO!G45="","",CALCULO!G45)</f>
        <v>0</v>
      </c>
      <c r="F45" s="41" t="n">
        <v>6500</v>
      </c>
      <c r="G45" s="42" t="e">
        <f aca="false">IF(F45="","",ROUND((F45-B45)/B45,4))</f>
        <v>#DIV/0!</v>
      </c>
      <c r="H45" s="42" t="n">
        <f aca="false">IF(F45="","",1-IMPOSTOS-CALCULO!B45/F45)</f>
        <v>0.7407</v>
      </c>
      <c r="I45" s="42" t="n">
        <f aca="false">IF(F45="","",H45-CALCULO!C45)</f>
        <v>0.4407</v>
      </c>
      <c r="J45" s="40" t="n">
        <f aca="false">IF(F45="","",ROUND(CALCULO!B45/(1-IMPOSTOS-H45-TAXA_3X),2))</f>
        <v>-0</v>
      </c>
      <c r="K45" s="40" t="n">
        <f aca="false">IF(F45="","",ROUND(CALCULO!B45/(1-IMPOSTOS-H45-TAXA_6X),2))</f>
        <v>-0</v>
      </c>
      <c r="L45" s="40" t="n">
        <f aca="false">IF(F45="","",ROUND(CALCULO!B45/(1-IMPOSTOS-H45-TAXA_10X),2))</f>
        <v>-0</v>
      </c>
    </row>
    <row r="46" customFormat="false" ht="15" hidden="false" customHeight="true" outlineLevel="0" collapsed="false">
      <c r="A46" s="8" t="n">
        <f aca="false">CALCULO!A46</f>
        <v>23391</v>
      </c>
      <c r="B46" s="40" t="str">
        <f aca="false">IF(CALCULO!D46="","",CALCULO!D46)</f>
        <v/>
      </c>
      <c r="C46" s="40" t="str">
        <f aca="false">IF(CALCULO!E46="","",CALCULO!E46)</f>
        <v/>
      </c>
      <c r="D46" s="40" t="str">
        <f aca="false">IF(CALCULO!F46="","",CALCULO!F46)</f>
        <v/>
      </c>
      <c r="E46" s="40" t="str">
        <f aca="false">IF(CALCULO!G46="","",CALCULO!G46)</f>
        <v/>
      </c>
      <c r="F46" s="41"/>
      <c r="G46" s="42" t="str">
        <f aca="false">IF(F46="","",ROUND((F46-B46)/B46,4))</f>
        <v/>
      </c>
      <c r="H46" s="42" t="str">
        <f aca="false">IF(F46="","",1-IMPOSTOS-CALCULO!B46/F46)</f>
        <v/>
      </c>
      <c r="I46" s="42" t="str">
        <f aca="false">IF(F46="","",H46-CALCULO!C46)</f>
        <v/>
      </c>
      <c r="J46" s="40" t="str">
        <f aca="false">IF(F46="","",ROUND(CALCULO!B46/(1-IMPOSTOS-H46-TAXA_3X),2))</f>
        <v/>
      </c>
      <c r="K46" s="40" t="str">
        <f aca="false">IF(F46="","",ROUND(CALCULO!B46/(1-IMPOSTOS-H46-TAXA_6X),2))</f>
        <v/>
      </c>
      <c r="L46" s="40" t="str">
        <f aca="false">IF(F46="","",ROUND(CALCULO!B46/(1-IMPOSTOS-H46-TAXA_10X),2))</f>
        <v/>
      </c>
    </row>
    <row r="47" customFormat="false" ht="15" hidden="false" customHeight="true" outlineLevel="0" collapsed="false">
      <c r="A47" s="8" t="n">
        <f aca="false">CALCULO!A47</f>
        <v>0</v>
      </c>
      <c r="B47" s="40" t="str">
        <f aca="false">IF(CALCULO!D47="","",CALCULO!D47)</f>
        <v/>
      </c>
      <c r="C47" s="40" t="str">
        <f aca="false">IF(CALCULO!E47="","",CALCULO!E47)</f>
        <v/>
      </c>
      <c r="D47" s="40" t="str">
        <f aca="false">IF(CALCULO!F47="","",CALCULO!F47)</f>
        <v/>
      </c>
      <c r="E47" s="40" t="str">
        <f aca="false">IF(CALCULO!G47="","",CALCULO!G47)</f>
        <v/>
      </c>
      <c r="F47" s="41"/>
      <c r="G47" s="42" t="str">
        <f aca="false">IF(F47="","",ROUND((F47-B47)/B47,4))</f>
        <v/>
      </c>
      <c r="H47" s="42" t="str">
        <f aca="false">IF(F47="","",1-IMPOSTOS-CALCULO!B47/F47)</f>
        <v/>
      </c>
      <c r="I47" s="42" t="str">
        <f aca="false">IF(F47="","",H47-CALCULO!C47)</f>
        <v/>
      </c>
      <c r="J47" s="40" t="str">
        <f aca="false">IF(F47="","",ROUND(CALCULO!B47/(1-IMPOSTOS-H47-TAXA_3X),2))</f>
        <v/>
      </c>
      <c r="K47" s="40" t="str">
        <f aca="false">IF(F47="","",ROUND(CALCULO!B47/(1-IMPOSTOS-H47-TAXA_6X),2))</f>
        <v/>
      </c>
      <c r="L47" s="40" t="str">
        <f aca="false">IF(F47="","",ROUND(CALCULO!B47/(1-IMPOSTOS-H47-TAXA_10X),2))</f>
        <v/>
      </c>
    </row>
    <row r="48" customFormat="false" ht="15" hidden="false" customHeight="true" outlineLevel="0" collapsed="false">
      <c r="A48" s="8" t="n">
        <f aca="false">CALCULO!A48</f>
        <v>0</v>
      </c>
      <c r="B48" s="40" t="str">
        <f aca="false">IF(CALCULO!D48="","",CALCULO!D48)</f>
        <v/>
      </c>
      <c r="C48" s="40" t="str">
        <f aca="false">IF(CALCULO!E48="","",CALCULO!E48)</f>
        <v/>
      </c>
      <c r="D48" s="40" t="str">
        <f aca="false">IF(CALCULO!F48="","",CALCULO!F48)</f>
        <v/>
      </c>
      <c r="E48" s="40" t="str">
        <f aca="false">IF(CALCULO!G48="","",CALCULO!G48)</f>
        <v/>
      </c>
      <c r="F48" s="41"/>
      <c r="G48" s="42" t="str">
        <f aca="false">IF(F48="","",ROUND((F48-B48)/B48,4))</f>
        <v/>
      </c>
      <c r="H48" s="42" t="str">
        <f aca="false">IF(F48="","",1-IMPOSTOS-CALCULO!B48/F48)</f>
        <v/>
      </c>
      <c r="I48" s="42" t="str">
        <f aca="false">IF(F48="","",H48-CALCULO!C48)</f>
        <v/>
      </c>
      <c r="J48" s="40" t="str">
        <f aca="false">IF(F48="","",ROUND(CALCULO!B48/(1-IMPOSTOS-H48-TAXA_3X),2))</f>
        <v/>
      </c>
      <c r="K48" s="40" t="str">
        <f aca="false">IF(F48="","",ROUND(CALCULO!B48/(1-IMPOSTOS-H48-TAXA_6X),2))</f>
        <v/>
      </c>
      <c r="L48" s="40" t="str">
        <f aca="false">IF(F48="","",ROUND(CALCULO!B48/(1-IMPOSTOS-H48-TAXA_10X),2))</f>
        <v/>
      </c>
    </row>
    <row r="49" customFormat="false" ht="15" hidden="false" customHeight="true" outlineLevel="0" collapsed="false">
      <c r="A49" s="8" t="n">
        <f aca="false">CALCULO!A49</f>
        <v>0</v>
      </c>
      <c r="B49" s="40" t="str">
        <f aca="false">IF(CALCULO!D49="","",CALCULO!D49)</f>
        <v/>
      </c>
      <c r="C49" s="40" t="str">
        <f aca="false">IF(CALCULO!E49="","",CALCULO!E49)</f>
        <v/>
      </c>
      <c r="D49" s="40" t="str">
        <f aca="false">IF(CALCULO!F49="","",CALCULO!F49)</f>
        <v/>
      </c>
      <c r="E49" s="40" t="str">
        <f aca="false">IF(CALCULO!G49="","",CALCULO!G49)</f>
        <v/>
      </c>
      <c r="F49" s="41"/>
      <c r="G49" s="42" t="str">
        <f aca="false">IF(F49="","",ROUND((F49-B49)/B49,4))</f>
        <v/>
      </c>
      <c r="H49" s="42" t="str">
        <f aca="false">IF(F49="","",1-IMPOSTOS-CALCULO!B49/F49)</f>
        <v/>
      </c>
      <c r="I49" s="42" t="str">
        <f aca="false">IF(F49="","",H49-CALCULO!C49)</f>
        <v/>
      </c>
      <c r="J49" s="40" t="str">
        <f aca="false">IF(F49="","",ROUND(CALCULO!B49/(1-IMPOSTOS-H49-TAXA_3X),2))</f>
        <v/>
      </c>
      <c r="K49" s="40" t="str">
        <f aca="false">IF(F49="","",ROUND(CALCULO!B49/(1-IMPOSTOS-H49-TAXA_6X),2))</f>
        <v/>
      </c>
      <c r="L49" s="40" t="str">
        <f aca="false">IF(F49="","",ROUND(CALCULO!B49/(1-IMPOSTOS-H49-TAXA_10X),2))</f>
        <v/>
      </c>
    </row>
    <row r="50" customFormat="false" ht="15" hidden="false" customHeight="true" outlineLevel="0" collapsed="false">
      <c r="A50" s="8" t="n">
        <f aca="false">CALCULO!A50</f>
        <v>0</v>
      </c>
      <c r="B50" s="40" t="str">
        <f aca="false">IF(CALCULO!D50="","",CALCULO!D50)</f>
        <v/>
      </c>
      <c r="C50" s="40" t="str">
        <f aca="false">IF(CALCULO!E50="","",CALCULO!E50)</f>
        <v/>
      </c>
      <c r="D50" s="40" t="str">
        <f aca="false">IF(CALCULO!F50="","",CALCULO!F50)</f>
        <v/>
      </c>
      <c r="E50" s="40" t="str">
        <f aca="false">IF(CALCULO!G50="","",CALCULO!G50)</f>
        <v/>
      </c>
      <c r="F50" s="41"/>
      <c r="G50" s="42" t="str">
        <f aca="false">IF(F50="","",ROUND((F50-B50)/B50,4))</f>
        <v/>
      </c>
      <c r="H50" s="42" t="str">
        <f aca="false">IF(F50="","",1-IMPOSTOS-CALCULO!B50/F50)</f>
        <v/>
      </c>
      <c r="I50" s="42" t="str">
        <f aca="false">IF(F50="","",H50-CALCULO!C50)</f>
        <v/>
      </c>
      <c r="J50" s="40" t="str">
        <f aca="false">IF(F50="","",ROUND(CALCULO!B50/(1-IMPOSTOS-H50-TAXA_3X),2))</f>
        <v/>
      </c>
      <c r="K50" s="40" t="str">
        <f aca="false">IF(F50="","",ROUND(CALCULO!B50/(1-IMPOSTOS-H50-TAXA_6X),2))</f>
        <v/>
      </c>
      <c r="L50" s="40" t="str">
        <f aca="false">IF(F50="","",ROUND(CALCULO!B50/(1-IMPOSTOS-H50-TAXA_10X),2))</f>
        <v/>
      </c>
    </row>
    <row r="51" customFormat="false" ht="15" hidden="false" customHeight="true" outlineLevel="0" collapsed="false">
      <c r="A51" s="8" t="n">
        <f aca="false">CALCULO!A51</f>
        <v>0</v>
      </c>
      <c r="B51" s="40" t="str">
        <f aca="false">IF(CALCULO!D51="","",CALCULO!D51)</f>
        <v/>
      </c>
      <c r="C51" s="40" t="str">
        <f aca="false">IF(CALCULO!E51="","",CALCULO!E51)</f>
        <v/>
      </c>
      <c r="D51" s="40" t="str">
        <f aca="false">IF(CALCULO!F51="","",CALCULO!F51)</f>
        <v/>
      </c>
      <c r="E51" s="40" t="str">
        <f aca="false">IF(CALCULO!G51="","",CALCULO!G51)</f>
        <v/>
      </c>
      <c r="F51" s="41"/>
      <c r="G51" s="42" t="str">
        <f aca="false">IF(F51="","",ROUND((F51-B51)/B51,4))</f>
        <v/>
      </c>
      <c r="H51" s="42" t="str">
        <f aca="false">IF(F51="","",1-IMPOSTOS-CALCULO!B51/F51)</f>
        <v/>
      </c>
      <c r="I51" s="42" t="str">
        <f aca="false">IF(F51="","",H51-CALCULO!C51)</f>
        <v/>
      </c>
      <c r="J51" s="40" t="str">
        <f aca="false">IF(F51="","",ROUND(CALCULO!B51/(1-IMPOSTOS-H51-TAXA_3X),2))</f>
        <v/>
      </c>
      <c r="K51" s="40" t="str">
        <f aca="false">IF(F51="","",ROUND(CALCULO!B51/(1-IMPOSTOS-H51-TAXA_6X),2))</f>
        <v/>
      </c>
      <c r="L51" s="40" t="str">
        <f aca="false">IF(F51="","",ROUND(CALCULO!B51/(1-IMPOSTOS-H51-TAXA_10X),2))</f>
        <v/>
      </c>
    </row>
    <row r="52" customFormat="false" ht="15" hidden="false" customHeight="true" outlineLevel="0" collapsed="false">
      <c r="A52" s="8" t="n">
        <f aca="false">CALCULO!A52</f>
        <v>0</v>
      </c>
      <c r="B52" s="40" t="str">
        <f aca="false">IF(CALCULO!D52="","",CALCULO!D52)</f>
        <v/>
      </c>
      <c r="C52" s="40" t="str">
        <f aca="false">IF(CALCULO!E52="","",CALCULO!E52)</f>
        <v/>
      </c>
      <c r="D52" s="40" t="str">
        <f aca="false">IF(CALCULO!F52="","",CALCULO!F52)</f>
        <v/>
      </c>
      <c r="E52" s="40" t="str">
        <f aca="false">IF(CALCULO!G52="","",CALCULO!G52)</f>
        <v/>
      </c>
      <c r="F52" s="41"/>
      <c r="G52" s="42" t="str">
        <f aca="false">IF(F52="","",ROUND((F52-B52)/B52,4))</f>
        <v/>
      </c>
      <c r="H52" s="42" t="str">
        <f aca="false">IF(F52="","",1-IMPOSTOS-CALCULO!B52/F52)</f>
        <v/>
      </c>
      <c r="I52" s="42" t="str">
        <f aca="false">IF(F52="","",H52-CALCULO!C52)</f>
        <v/>
      </c>
      <c r="J52" s="40" t="str">
        <f aca="false">IF(F52="","",ROUND(CALCULO!B52/(1-IMPOSTOS-H52-TAXA_3X),2))</f>
        <v/>
      </c>
      <c r="K52" s="40" t="str">
        <f aca="false">IF(F52="","",ROUND(CALCULO!B52/(1-IMPOSTOS-H52-TAXA_6X),2))</f>
        <v/>
      </c>
      <c r="L52" s="40" t="str">
        <f aca="false">IF(F52="","",ROUND(CALCULO!B52/(1-IMPOSTOS-H52-TAXA_10X),2))</f>
        <v/>
      </c>
    </row>
    <row r="53" customFormat="false" ht="15" hidden="false" customHeight="true" outlineLevel="0" collapsed="false">
      <c r="A53" s="8" t="n">
        <f aca="false">CALCULO!A53</f>
        <v>0</v>
      </c>
      <c r="B53" s="40" t="str">
        <f aca="false">IF(CALCULO!D53="","",CALCULO!D53)</f>
        <v/>
      </c>
      <c r="C53" s="40" t="str">
        <f aca="false">IF(CALCULO!E53="","",CALCULO!E53)</f>
        <v/>
      </c>
      <c r="D53" s="40" t="str">
        <f aca="false">IF(CALCULO!F53="","",CALCULO!F53)</f>
        <v/>
      </c>
      <c r="E53" s="40" t="str">
        <f aca="false">IF(CALCULO!G53="","",CALCULO!G53)</f>
        <v/>
      </c>
      <c r="F53" s="41"/>
      <c r="G53" s="42" t="str">
        <f aca="false">IF(F53="","",ROUND((F53-B53)/B53,4))</f>
        <v/>
      </c>
      <c r="H53" s="42" t="str">
        <f aca="false">IF(F53="","",1-IMPOSTOS-CALCULO!B53/F53)</f>
        <v/>
      </c>
      <c r="I53" s="42" t="str">
        <f aca="false">IF(F53="","",H53-CALCULO!C53)</f>
        <v/>
      </c>
      <c r="J53" s="40" t="str">
        <f aca="false">IF(F53="","",ROUND(CALCULO!B53/(1-IMPOSTOS-H53-TAXA_3X),2))</f>
        <v/>
      </c>
      <c r="K53" s="40" t="str">
        <f aca="false">IF(F53="","",ROUND(CALCULO!B53/(1-IMPOSTOS-H53-TAXA_6X),2))</f>
        <v/>
      </c>
      <c r="L53" s="40" t="str">
        <f aca="false">IF(F53="","",ROUND(CALCULO!B53/(1-IMPOSTOS-H53-TAXA_10X),2))</f>
        <v/>
      </c>
    </row>
    <row r="54" customFormat="false" ht="15" hidden="false" customHeight="true" outlineLevel="0" collapsed="false">
      <c r="A54" s="8" t="n">
        <f aca="false">CALCULO!A54</f>
        <v>0</v>
      </c>
      <c r="B54" s="40" t="str">
        <f aca="false">IF(CALCULO!D54="","",CALCULO!D54)</f>
        <v/>
      </c>
      <c r="C54" s="40" t="str">
        <f aca="false">IF(CALCULO!E54="","",CALCULO!E54)</f>
        <v/>
      </c>
      <c r="D54" s="40" t="str">
        <f aca="false">IF(CALCULO!F54="","",CALCULO!F54)</f>
        <v/>
      </c>
      <c r="E54" s="40" t="str">
        <f aca="false">IF(CALCULO!G54="","",CALCULO!G54)</f>
        <v/>
      </c>
      <c r="F54" s="41"/>
      <c r="G54" s="42" t="str">
        <f aca="false">IF(F54="","",ROUND((F54-B54)/B54,4))</f>
        <v/>
      </c>
      <c r="H54" s="42" t="str">
        <f aca="false">IF(F54="","",1-IMPOSTOS-CALCULO!B54/F54)</f>
        <v/>
      </c>
      <c r="I54" s="42" t="str">
        <f aca="false">IF(F54="","",H54-CALCULO!C54)</f>
        <v/>
      </c>
      <c r="J54" s="40" t="str">
        <f aca="false">IF(F54="","",ROUND(CALCULO!B54/(1-IMPOSTOS-H54-TAXA_3X),2))</f>
        <v/>
      </c>
      <c r="K54" s="40" t="str">
        <f aca="false">IF(F54="","",ROUND(CALCULO!B54/(1-IMPOSTOS-H54-TAXA_6X),2))</f>
        <v/>
      </c>
      <c r="L54" s="40" t="str">
        <f aca="false">IF(F54="","",ROUND(CALCULO!B54/(1-IMPOSTOS-H54-TAXA_10X),2))</f>
        <v/>
      </c>
    </row>
    <row r="55" customFormat="false" ht="15" hidden="false" customHeight="true" outlineLevel="0" collapsed="false">
      <c r="A55" s="8" t="n">
        <f aca="false">CALCULO!A55</f>
        <v>0</v>
      </c>
      <c r="B55" s="40" t="str">
        <f aca="false">IF(CALCULO!D55="","",CALCULO!D55)</f>
        <v/>
      </c>
      <c r="C55" s="40" t="str">
        <f aca="false">IF(CALCULO!E55="","",CALCULO!E55)</f>
        <v/>
      </c>
      <c r="D55" s="40" t="str">
        <f aca="false">IF(CALCULO!F55="","",CALCULO!F55)</f>
        <v/>
      </c>
      <c r="E55" s="40" t="str">
        <f aca="false">IF(CALCULO!G55="","",CALCULO!G55)</f>
        <v/>
      </c>
      <c r="F55" s="41"/>
      <c r="G55" s="42" t="str">
        <f aca="false">IF(F55="","",ROUND((F55-B55)/B55,4))</f>
        <v/>
      </c>
      <c r="H55" s="42" t="str">
        <f aca="false">IF(F55="","",1-IMPOSTOS-CALCULO!B55/F55)</f>
        <v/>
      </c>
      <c r="I55" s="42" t="str">
        <f aca="false">IF(F55="","",H55-CALCULO!C55)</f>
        <v/>
      </c>
      <c r="J55" s="40" t="str">
        <f aca="false">IF(F55="","",ROUND(CALCULO!B55/(1-IMPOSTOS-H55-TAXA_3X),2))</f>
        <v/>
      </c>
      <c r="K55" s="40" t="str">
        <f aca="false">IF(F55="","",ROUND(CALCULO!B55/(1-IMPOSTOS-H55-TAXA_6X),2))</f>
        <v/>
      </c>
      <c r="L55" s="40" t="str">
        <f aca="false">IF(F55="","",ROUND(CALCULO!B55/(1-IMPOSTOS-H55-TAXA_10X),2))</f>
        <v/>
      </c>
    </row>
    <row r="56" customFormat="false" ht="15" hidden="false" customHeight="true" outlineLevel="0" collapsed="false">
      <c r="A56" s="8" t="n">
        <f aca="false">CALCULO!A56</f>
        <v>0</v>
      </c>
      <c r="B56" s="40" t="str">
        <f aca="false">IF(CALCULO!D56="","",CALCULO!D56)</f>
        <v/>
      </c>
      <c r="C56" s="40" t="str">
        <f aca="false">IF(CALCULO!E56="","",CALCULO!E56)</f>
        <v/>
      </c>
      <c r="D56" s="40" t="str">
        <f aca="false">IF(CALCULO!F56="","",CALCULO!F56)</f>
        <v/>
      </c>
      <c r="E56" s="40" t="str">
        <f aca="false">IF(CALCULO!G56="","",CALCULO!G56)</f>
        <v/>
      </c>
      <c r="F56" s="41"/>
      <c r="G56" s="42" t="str">
        <f aca="false">IF(F56="","",ROUND((F56-B56)/B56,4))</f>
        <v/>
      </c>
      <c r="H56" s="42" t="str">
        <f aca="false">IF(F56="","",1-IMPOSTOS-CALCULO!B56/F56)</f>
        <v/>
      </c>
      <c r="I56" s="42" t="str">
        <f aca="false">IF(F56="","",H56-CALCULO!C56)</f>
        <v/>
      </c>
      <c r="J56" s="40" t="str">
        <f aca="false">IF(F56="","",ROUND(CALCULO!B56/(1-IMPOSTOS-H56-TAXA_3X),2))</f>
        <v/>
      </c>
      <c r="K56" s="40" t="str">
        <f aca="false">IF(F56="","",ROUND(CALCULO!B56/(1-IMPOSTOS-H56-TAXA_6X),2))</f>
        <v/>
      </c>
      <c r="L56" s="40" t="str">
        <f aca="false">IF(F56="","",ROUND(CALCULO!B56/(1-IMPOSTOS-H56-TAXA_10X),2))</f>
        <v/>
      </c>
    </row>
    <row r="57" customFormat="false" ht="15" hidden="false" customHeight="true" outlineLevel="0" collapsed="false">
      <c r="A57" s="8" t="n">
        <f aca="false">CALCULO!A57</f>
        <v>0</v>
      </c>
      <c r="B57" s="40" t="str">
        <f aca="false">IF(CALCULO!D57="","",CALCULO!D57)</f>
        <v/>
      </c>
      <c r="C57" s="40" t="str">
        <f aca="false">IF(CALCULO!E57="","",CALCULO!E57)</f>
        <v/>
      </c>
      <c r="D57" s="40" t="str">
        <f aca="false">IF(CALCULO!F57="","",CALCULO!F57)</f>
        <v/>
      </c>
      <c r="E57" s="40" t="str">
        <f aca="false">IF(CALCULO!G57="","",CALCULO!G57)</f>
        <v/>
      </c>
      <c r="F57" s="41"/>
      <c r="G57" s="42" t="str">
        <f aca="false">IF(F57="","",ROUND((F57-B57)/B57,4))</f>
        <v/>
      </c>
      <c r="H57" s="42" t="str">
        <f aca="false">IF(F57="","",1-IMPOSTOS-CALCULO!B57/F57)</f>
        <v/>
      </c>
      <c r="I57" s="42" t="str">
        <f aca="false">IF(F57="","",H57-CALCULO!C57)</f>
        <v/>
      </c>
      <c r="J57" s="40" t="str">
        <f aca="false">IF(F57="","",ROUND(CALCULO!B57/(1-IMPOSTOS-H57-TAXA_3X),2))</f>
        <v/>
      </c>
      <c r="K57" s="40" t="str">
        <f aca="false">IF(F57="","",ROUND(CALCULO!B57/(1-IMPOSTOS-H57-TAXA_6X),2))</f>
        <v/>
      </c>
      <c r="L57" s="40" t="str">
        <f aca="false">IF(F57="","",ROUND(CALCULO!B57/(1-IMPOSTOS-H57-TAXA_10X),2))</f>
        <v/>
      </c>
    </row>
    <row r="58" customFormat="false" ht="15" hidden="false" customHeight="true" outlineLevel="0" collapsed="false">
      <c r="A58" s="8" t="n">
        <f aca="false">CALCULO!A58</f>
        <v>0</v>
      </c>
      <c r="B58" s="40" t="str">
        <f aca="false">IF(CALCULO!D58="","",CALCULO!D58)</f>
        <v/>
      </c>
      <c r="C58" s="40" t="str">
        <f aca="false">IF(CALCULO!E58="","",CALCULO!E58)</f>
        <v/>
      </c>
      <c r="D58" s="40" t="str">
        <f aca="false">IF(CALCULO!F58="","",CALCULO!F58)</f>
        <v/>
      </c>
      <c r="E58" s="40" t="str">
        <f aca="false">IF(CALCULO!G58="","",CALCULO!G58)</f>
        <v/>
      </c>
      <c r="F58" s="41"/>
      <c r="G58" s="42" t="str">
        <f aca="false">IF(F58="","",ROUND((F58-B58)/B58,4))</f>
        <v/>
      </c>
      <c r="H58" s="42" t="str">
        <f aca="false">IF(F58="","",1-IMPOSTOS-CALCULO!B58/F58)</f>
        <v/>
      </c>
      <c r="I58" s="42" t="str">
        <f aca="false">IF(F58="","",H58-CALCULO!C58)</f>
        <v/>
      </c>
      <c r="J58" s="40" t="str">
        <f aca="false">IF(F58="","",ROUND(CALCULO!B58/(1-IMPOSTOS-H58-TAXA_3X),2))</f>
        <v/>
      </c>
      <c r="K58" s="40" t="str">
        <f aca="false">IF(F58="","",ROUND(CALCULO!B58/(1-IMPOSTOS-H58-TAXA_6X),2))</f>
        <v/>
      </c>
      <c r="L58" s="40" t="str">
        <f aca="false">IF(F58="","",ROUND(CALCULO!B58/(1-IMPOSTOS-H58-TAXA_10X),2))</f>
        <v/>
      </c>
    </row>
    <row r="59" customFormat="false" ht="15" hidden="false" customHeight="true" outlineLevel="0" collapsed="false">
      <c r="A59" s="8" t="n">
        <f aca="false">CALCULO!A59</f>
        <v>0</v>
      </c>
      <c r="B59" s="40" t="str">
        <f aca="false">IF(CALCULO!D59="","",CALCULO!D59)</f>
        <v/>
      </c>
      <c r="C59" s="40" t="str">
        <f aca="false">IF(CALCULO!E59="","",CALCULO!E59)</f>
        <v/>
      </c>
      <c r="D59" s="40" t="str">
        <f aca="false">IF(CALCULO!F59="","",CALCULO!F59)</f>
        <v/>
      </c>
      <c r="E59" s="40" t="str">
        <f aca="false">IF(CALCULO!G59="","",CALCULO!G59)</f>
        <v/>
      </c>
      <c r="F59" s="41"/>
      <c r="G59" s="42" t="str">
        <f aca="false">IF(F59="","",ROUND((F59-B59)/B59,4))</f>
        <v/>
      </c>
      <c r="H59" s="42" t="str">
        <f aca="false">IF(F59="","",1-IMPOSTOS-CALCULO!B59/F59)</f>
        <v/>
      </c>
      <c r="I59" s="42" t="str">
        <f aca="false">IF(F59="","",H59-CALCULO!C59)</f>
        <v/>
      </c>
      <c r="J59" s="40" t="str">
        <f aca="false">IF(F59="","",ROUND(CALCULO!B59/(1-IMPOSTOS-H59-TAXA_3X),2))</f>
        <v/>
      </c>
      <c r="K59" s="40" t="str">
        <f aca="false">IF(F59="","",ROUND(CALCULO!B59/(1-IMPOSTOS-H59-TAXA_6X),2))</f>
        <v/>
      </c>
      <c r="L59" s="40" t="str">
        <f aca="false">IF(F59="","",ROUND(CALCULO!B59/(1-IMPOSTOS-H59-TAXA_10X),2))</f>
        <v/>
      </c>
    </row>
    <row r="60" customFormat="false" ht="15" hidden="false" customHeight="true" outlineLevel="0" collapsed="false">
      <c r="A60" s="8" t="n">
        <f aca="false">CALCULO!A60</f>
        <v>0</v>
      </c>
      <c r="B60" s="40" t="str">
        <f aca="false">IF(CALCULO!D60="","",CALCULO!D60)</f>
        <v/>
      </c>
      <c r="C60" s="40" t="str">
        <f aca="false">IF(CALCULO!E60="","",CALCULO!E60)</f>
        <v/>
      </c>
      <c r="D60" s="40" t="str">
        <f aca="false">IF(CALCULO!F60="","",CALCULO!F60)</f>
        <v/>
      </c>
      <c r="E60" s="40" t="str">
        <f aca="false">IF(CALCULO!G60="","",CALCULO!G60)</f>
        <v/>
      </c>
      <c r="F60" s="41"/>
      <c r="G60" s="42" t="str">
        <f aca="false">IF(F60="","",ROUND((F60-B60)/B60,4))</f>
        <v/>
      </c>
      <c r="H60" s="42" t="str">
        <f aca="false">IF(F60="","",1-IMPOSTOS-CALCULO!B60/F60)</f>
        <v/>
      </c>
      <c r="I60" s="42" t="str">
        <f aca="false">IF(F60="","",H60-CALCULO!C60)</f>
        <v/>
      </c>
      <c r="J60" s="40" t="str">
        <f aca="false">IF(F60="","",ROUND(CALCULO!B60/(1-IMPOSTOS-H60-TAXA_3X),2))</f>
        <v/>
      </c>
      <c r="K60" s="40" t="str">
        <f aca="false">IF(F60="","",ROUND(CALCULO!B60/(1-IMPOSTOS-H60-TAXA_6X),2))</f>
        <v/>
      </c>
      <c r="L60" s="40" t="str">
        <f aca="false">IF(F60="","",ROUND(CALCULO!B60/(1-IMPOSTOS-H60-TAXA_10X),2))</f>
        <v/>
      </c>
    </row>
    <row r="61" customFormat="false" ht="15" hidden="false" customHeight="true" outlineLevel="0" collapsed="false">
      <c r="A61" s="8" t="n">
        <f aca="false">CALCULO!A61</f>
        <v>0</v>
      </c>
      <c r="B61" s="40" t="str">
        <f aca="false">IF(CALCULO!D61="","",CALCULO!D61)</f>
        <v/>
      </c>
      <c r="C61" s="40" t="str">
        <f aca="false">IF(CALCULO!E61="","",CALCULO!E61)</f>
        <v/>
      </c>
      <c r="D61" s="40" t="str">
        <f aca="false">IF(CALCULO!F61="","",CALCULO!F61)</f>
        <v/>
      </c>
      <c r="E61" s="40" t="str">
        <f aca="false">IF(CALCULO!G61="","",CALCULO!G61)</f>
        <v/>
      </c>
      <c r="F61" s="41"/>
      <c r="G61" s="42" t="str">
        <f aca="false">IF(F61="","",ROUND((F61-B61)/B61,4))</f>
        <v/>
      </c>
      <c r="H61" s="42" t="str">
        <f aca="false">IF(F61="","",1-IMPOSTOS-CALCULO!B61/F61)</f>
        <v/>
      </c>
      <c r="I61" s="42" t="str">
        <f aca="false">IF(F61="","",H61-CALCULO!C61)</f>
        <v/>
      </c>
      <c r="J61" s="40" t="str">
        <f aca="false">IF(F61="","",ROUND(CALCULO!B61/(1-IMPOSTOS-H61-TAXA_3X),2))</f>
        <v/>
      </c>
      <c r="K61" s="40" t="str">
        <f aca="false">IF(F61="","",ROUND(CALCULO!B61/(1-IMPOSTOS-H61-TAXA_6X),2))</f>
        <v/>
      </c>
      <c r="L61" s="40" t="str">
        <f aca="false">IF(F61="","",ROUND(CALCULO!B61/(1-IMPOSTOS-H61-TAXA_10X),2))</f>
        <v/>
      </c>
    </row>
    <row r="62" customFormat="false" ht="15" hidden="false" customHeight="true" outlineLevel="0" collapsed="false">
      <c r="A62" s="8" t="n">
        <f aca="false">CALCULO!A62</f>
        <v>0</v>
      </c>
      <c r="B62" s="40" t="str">
        <f aca="false">IF(CALCULO!D62="","",CALCULO!D62)</f>
        <v/>
      </c>
      <c r="C62" s="40" t="str">
        <f aca="false">IF(CALCULO!E62="","",CALCULO!E62)</f>
        <v/>
      </c>
      <c r="D62" s="40" t="str">
        <f aca="false">IF(CALCULO!F62="","",CALCULO!F62)</f>
        <v/>
      </c>
      <c r="E62" s="40" t="str">
        <f aca="false">IF(CALCULO!G62="","",CALCULO!G62)</f>
        <v/>
      </c>
      <c r="F62" s="41"/>
      <c r="G62" s="42" t="str">
        <f aca="false">IF(F62="","",ROUND((F62-B62)/B62,4))</f>
        <v/>
      </c>
      <c r="H62" s="42" t="str">
        <f aca="false">IF(F62="","",1-IMPOSTOS-CALCULO!B62/F62)</f>
        <v/>
      </c>
      <c r="I62" s="42" t="str">
        <f aca="false">IF(F62="","",H62-CALCULO!C62)</f>
        <v/>
      </c>
      <c r="J62" s="40" t="str">
        <f aca="false">IF(F62="","",ROUND(CALCULO!B62/(1-IMPOSTOS-H62-TAXA_3X),2))</f>
        <v/>
      </c>
      <c r="K62" s="40" t="str">
        <f aca="false">IF(F62="","",ROUND(CALCULO!B62/(1-IMPOSTOS-H62-TAXA_6X),2))</f>
        <v/>
      </c>
      <c r="L62" s="40" t="str">
        <f aca="false">IF(F62="","",ROUND(CALCULO!B62/(1-IMPOSTOS-H62-TAXA_10X),2))</f>
        <v/>
      </c>
    </row>
    <row r="63" customFormat="false" ht="15" hidden="false" customHeight="true" outlineLevel="0" collapsed="false">
      <c r="A63" s="8" t="n">
        <f aca="false">CALCULO!A63</f>
        <v>0</v>
      </c>
      <c r="B63" s="40" t="str">
        <f aca="false">IF(CALCULO!D63="","",CALCULO!D63)</f>
        <v/>
      </c>
      <c r="C63" s="40" t="str">
        <f aca="false">IF(CALCULO!E63="","",CALCULO!E63)</f>
        <v/>
      </c>
      <c r="D63" s="40" t="str">
        <f aca="false">IF(CALCULO!F63="","",CALCULO!F63)</f>
        <v/>
      </c>
      <c r="E63" s="40" t="str">
        <f aca="false">IF(CALCULO!G63="","",CALCULO!G63)</f>
        <v/>
      </c>
      <c r="F63" s="41"/>
      <c r="G63" s="42" t="str">
        <f aca="false">IF(F63="","",ROUND((F63-B63)/B63,4))</f>
        <v/>
      </c>
      <c r="H63" s="42" t="str">
        <f aca="false">IF(F63="","",1-IMPOSTOS-CALCULO!B63/F63)</f>
        <v/>
      </c>
      <c r="I63" s="42" t="str">
        <f aca="false">IF(F63="","",H63-CALCULO!C63)</f>
        <v/>
      </c>
      <c r="J63" s="40" t="str">
        <f aca="false">IF(F63="","",ROUND(CALCULO!B63/(1-IMPOSTOS-H63-TAXA_3X),2))</f>
        <v/>
      </c>
      <c r="K63" s="40" t="str">
        <f aca="false">IF(F63="","",ROUND(CALCULO!B63/(1-IMPOSTOS-H63-TAXA_6X),2))</f>
        <v/>
      </c>
      <c r="L63" s="40" t="str">
        <f aca="false">IF(F63="","",ROUND(CALCULO!B63/(1-IMPOSTOS-H63-TAXA_10X),2))</f>
        <v/>
      </c>
    </row>
    <row r="64" customFormat="false" ht="15" hidden="false" customHeight="true" outlineLevel="0" collapsed="false">
      <c r="A64" s="8" t="n">
        <f aca="false">CALCULO!A64</f>
        <v>0</v>
      </c>
      <c r="B64" s="40" t="str">
        <f aca="false">IF(CALCULO!D64="","",CALCULO!D64)</f>
        <v/>
      </c>
      <c r="C64" s="40" t="str">
        <f aca="false">IF(CALCULO!E64="","",CALCULO!E64)</f>
        <v/>
      </c>
      <c r="D64" s="40" t="str">
        <f aca="false">IF(CALCULO!F64="","",CALCULO!F64)</f>
        <v/>
      </c>
      <c r="E64" s="40" t="str">
        <f aca="false">IF(CALCULO!G64="","",CALCULO!G64)</f>
        <v/>
      </c>
      <c r="F64" s="41"/>
      <c r="G64" s="42" t="str">
        <f aca="false">IF(F64="","",ROUND((F64-B64)/B64,4))</f>
        <v/>
      </c>
      <c r="H64" s="42" t="str">
        <f aca="false">IF(F64="","",1-IMPOSTOS-CALCULO!B64/F64)</f>
        <v/>
      </c>
      <c r="I64" s="42" t="str">
        <f aca="false">IF(F64="","",H64-CALCULO!C64)</f>
        <v/>
      </c>
      <c r="J64" s="40" t="str">
        <f aca="false">IF(F64="","",ROUND(CALCULO!B64/(1-IMPOSTOS-H64-TAXA_3X),2))</f>
        <v/>
      </c>
      <c r="K64" s="40" t="str">
        <f aca="false">IF(F64="","",ROUND(CALCULO!B64/(1-IMPOSTOS-H64-TAXA_6X),2))</f>
        <v/>
      </c>
      <c r="L64" s="40" t="str">
        <f aca="false">IF(F64="","",ROUND(CALCULO!B64/(1-IMPOSTOS-H64-TAXA_10X),2))</f>
        <v/>
      </c>
    </row>
    <row r="65" customFormat="false" ht="15" hidden="false" customHeight="true" outlineLevel="0" collapsed="false">
      <c r="A65" s="8" t="n">
        <f aca="false">CALCULO!A65</f>
        <v>0</v>
      </c>
      <c r="B65" s="40" t="str">
        <f aca="false">IF(CALCULO!D65="","",CALCULO!D65)</f>
        <v/>
      </c>
      <c r="C65" s="40" t="str">
        <f aca="false">IF(CALCULO!E65="","",CALCULO!E65)</f>
        <v/>
      </c>
      <c r="D65" s="40" t="str">
        <f aca="false">IF(CALCULO!F65="","",CALCULO!F65)</f>
        <v/>
      </c>
      <c r="E65" s="40" t="str">
        <f aca="false">IF(CALCULO!G65="","",CALCULO!G65)</f>
        <v/>
      </c>
      <c r="F65" s="41"/>
      <c r="G65" s="42" t="str">
        <f aca="false">IF(F65="","",ROUND((F65-B65)/B65,4))</f>
        <v/>
      </c>
      <c r="H65" s="42" t="str">
        <f aca="false">IF(F65="","",1-IMPOSTOS-CALCULO!B65/F65)</f>
        <v/>
      </c>
      <c r="I65" s="42" t="str">
        <f aca="false">IF(F65="","",H65-CALCULO!C65)</f>
        <v/>
      </c>
      <c r="J65" s="40" t="str">
        <f aca="false">IF(F65="","",ROUND(CALCULO!B65/(1-IMPOSTOS-H65-TAXA_3X),2))</f>
        <v/>
      </c>
      <c r="K65" s="40" t="str">
        <f aca="false">IF(F65="","",ROUND(CALCULO!B65/(1-IMPOSTOS-H65-TAXA_6X),2))</f>
        <v/>
      </c>
      <c r="L65" s="40" t="str">
        <f aca="false">IF(F65="","",ROUND(CALCULO!B65/(1-IMPOSTOS-H65-TAXA_10X),2))</f>
        <v/>
      </c>
    </row>
    <row r="66" customFormat="false" ht="15" hidden="false" customHeight="true" outlineLevel="0" collapsed="false">
      <c r="A66" s="8" t="n">
        <f aca="false">CALCULO!A66</f>
        <v>0</v>
      </c>
      <c r="B66" s="40" t="str">
        <f aca="false">IF(CALCULO!D66="","",CALCULO!D66)</f>
        <v/>
      </c>
      <c r="C66" s="40" t="str">
        <f aca="false">IF(CALCULO!E66="","",CALCULO!E66)</f>
        <v/>
      </c>
      <c r="D66" s="40" t="str">
        <f aca="false">IF(CALCULO!F66="","",CALCULO!F66)</f>
        <v/>
      </c>
      <c r="E66" s="40" t="str">
        <f aca="false">IF(CALCULO!G66="","",CALCULO!G66)</f>
        <v/>
      </c>
      <c r="F66" s="41"/>
      <c r="G66" s="42" t="str">
        <f aca="false">IF(F66="","",ROUND((F66-B66)/B66,4))</f>
        <v/>
      </c>
      <c r="H66" s="42" t="str">
        <f aca="false">IF(F66="","",1-IMPOSTOS-CALCULO!B66/F66)</f>
        <v/>
      </c>
      <c r="I66" s="42" t="str">
        <f aca="false">IF(F66="","",H66-CALCULO!C66)</f>
        <v/>
      </c>
      <c r="J66" s="40" t="str">
        <f aca="false">IF(F66="","",ROUND(CALCULO!B66/(1-IMPOSTOS-H66-TAXA_3X),2))</f>
        <v/>
      </c>
      <c r="K66" s="40" t="str">
        <f aca="false">IF(F66="","",ROUND(CALCULO!B66/(1-IMPOSTOS-H66-TAXA_6X),2))</f>
        <v/>
      </c>
      <c r="L66" s="40" t="str">
        <f aca="false">IF(F66="","",ROUND(CALCULO!B66/(1-IMPOSTOS-H66-TAXA_10X),2))</f>
        <v/>
      </c>
    </row>
    <row r="67" customFormat="false" ht="15" hidden="false" customHeight="true" outlineLevel="0" collapsed="false">
      <c r="A67" s="8" t="n">
        <f aca="false">CALCULO!A67</f>
        <v>0</v>
      </c>
      <c r="B67" s="40" t="str">
        <f aca="false">IF(CALCULO!D67="","",CALCULO!D67)</f>
        <v/>
      </c>
      <c r="C67" s="40" t="str">
        <f aca="false">IF(CALCULO!E67="","",CALCULO!E67)</f>
        <v/>
      </c>
      <c r="D67" s="40" t="str">
        <f aca="false">IF(CALCULO!F67="","",CALCULO!F67)</f>
        <v/>
      </c>
      <c r="E67" s="40" t="str">
        <f aca="false">IF(CALCULO!G67="","",CALCULO!G67)</f>
        <v/>
      </c>
      <c r="F67" s="41"/>
      <c r="G67" s="42" t="str">
        <f aca="false">IF(F67="","",ROUND((F67-B67)/B67,4))</f>
        <v/>
      </c>
      <c r="H67" s="42" t="str">
        <f aca="false">IF(F67="","",1-IMPOSTOS-CALCULO!B67/F67)</f>
        <v/>
      </c>
      <c r="I67" s="42" t="str">
        <f aca="false">IF(F67="","",H67-CALCULO!C67)</f>
        <v/>
      </c>
      <c r="J67" s="40" t="str">
        <f aca="false">IF(F67="","",ROUND(CALCULO!B67/(1-IMPOSTOS-H67-TAXA_3X),2))</f>
        <v/>
      </c>
      <c r="K67" s="40" t="str">
        <f aca="false">IF(F67="","",ROUND(CALCULO!B67/(1-IMPOSTOS-H67-TAXA_6X),2))</f>
        <v/>
      </c>
      <c r="L67" s="40" t="str">
        <f aca="false">IF(F67="","",ROUND(CALCULO!B67/(1-IMPOSTOS-H67-TAXA_10X),2))</f>
        <v/>
      </c>
    </row>
    <row r="68" customFormat="false" ht="15" hidden="false" customHeight="true" outlineLevel="0" collapsed="false">
      <c r="A68" s="8" t="n">
        <f aca="false">CALCULO!A68</f>
        <v>0</v>
      </c>
      <c r="B68" s="40" t="str">
        <f aca="false">IF(CALCULO!D68="","",CALCULO!D68)</f>
        <v/>
      </c>
      <c r="C68" s="40" t="str">
        <f aca="false">IF(CALCULO!E68="","",CALCULO!E68)</f>
        <v/>
      </c>
      <c r="D68" s="40" t="str">
        <f aca="false">IF(CALCULO!F68="","",CALCULO!F68)</f>
        <v/>
      </c>
      <c r="E68" s="40" t="str">
        <f aca="false">IF(CALCULO!G68="","",CALCULO!G68)</f>
        <v/>
      </c>
      <c r="F68" s="41"/>
      <c r="G68" s="42" t="str">
        <f aca="false">IF(F68="","",ROUND((F68-B68)/B68,4))</f>
        <v/>
      </c>
      <c r="H68" s="42" t="str">
        <f aca="false">IF(F68="","",1-IMPOSTOS-CALCULO!B68/F68)</f>
        <v/>
      </c>
      <c r="I68" s="42" t="str">
        <f aca="false">IF(F68="","",H68-CALCULO!C68)</f>
        <v/>
      </c>
      <c r="J68" s="40" t="str">
        <f aca="false">IF(F68="","",ROUND(CALCULO!B68/(1-IMPOSTOS-H68-TAXA_3X),2))</f>
        <v/>
      </c>
      <c r="K68" s="40" t="str">
        <f aca="false">IF(F68="","",ROUND(CALCULO!B68/(1-IMPOSTOS-H68-TAXA_6X),2))</f>
        <v/>
      </c>
      <c r="L68" s="40" t="str">
        <f aca="false">IF(F68="","",ROUND(CALCULO!B68/(1-IMPOSTOS-H68-TAXA_10X),2))</f>
        <v/>
      </c>
    </row>
    <row r="69" customFormat="false" ht="15" hidden="false" customHeight="true" outlineLevel="0" collapsed="false">
      <c r="A69" s="8" t="n">
        <f aca="false">CALCULO!A69</f>
        <v>0</v>
      </c>
      <c r="B69" s="40" t="str">
        <f aca="false">IF(CALCULO!D69="","",CALCULO!D69)</f>
        <v/>
      </c>
      <c r="C69" s="40" t="str">
        <f aca="false">IF(CALCULO!E69="","",CALCULO!E69)</f>
        <v/>
      </c>
      <c r="D69" s="40" t="str">
        <f aca="false">IF(CALCULO!F69="","",CALCULO!F69)</f>
        <v/>
      </c>
      <c r="E69" s="40" t="str">
        <f aca="false">IF(CALCULO!G69="","",CALCULO!G69)</f>
        <v/>
      </c>
      <c r="F69" s="41"/>
      <c r="G69" s="42" t="str">
        <f aca="false">IF(F69="","",ROUND((F69-B69)/B69,4))</f>
        <v/>
      </c>
      <c r="H69" s="42" t="str">
        <f aca="false">IF(F69="","",1-IMPOSTOS-CALCULO!B69/F69)</f>
        <v/>
      </c>
      <c r="I69" s="42" t="str">
        <f aca="false">IF(F69="","",H69-CALCULO!C69)</f>
        <v/>
      </c>
      <c r="J69" s="40" t="str">
        <f aca="false">IF(F69="","",ROUND(CALCULO!B69/(1-IMPOSTOS-H69-TAXA_3X),2))</f>
        <v/>
      </c>
      <c r="K69" s="40" t="str">
        <f aca="false">IF(F69="","",ROUND(CALCULO!B69/(1-IMPOSTOS-H69-TAXA_6X),2))</f>
        <v/>
      </c>
      <c r="L69" s="40" t="str">
        <f aca="false">IF(F69="","",ROUND(CALCULO!B69/(1-IMPOSTOS-H69-TAXA_10X),2))</f>
        <v/>
      </c>
    </row>
    <row r="70" customFormat="false" ht="15" hidden="false" customHeight="true" outlineLevel="0" collapsed="false">
      <c r="A70" s="8" t="n">
        <f aca="false">CALCULO!A70</f>
        <v>0</v>
      </c>
      <c r="B70" s="40" t="str">
        <f aca="false">IF(CALCULO!D70="","",CALCULO!D70)</f>
        <v/>
      </c>
      <c r="C70" s="40" t="str">
        <f aca="false">IF(CALCULO!E70="","",CALCULO!E70)</f>
        <v/>
      </c>
      <c r="D70" s="40" t="str">
        <f aca="false">IF(CALCULO!F70="","",CALCULO!F70)</f>
        <v/>
      </c>
      <c r="E70" s="40" t="str">
        <f aca="false">IF(CALCULO!G70="","",CALCULO!G70)</f>
        <v/>
      </c>
      <c r="F70" s="41"/>
      <c r="G70" s="42" t="str">
        <f aca="false">IF(F70="","",ROUND((F70-B70)/B70,4))</f>
        <v/>
      </c>
      <c r="H70" s="42" t="str">
        <f aca="false">IF(F70="","",1-IMPOSTOS-CALCULO!B70/F70)</f>
        <v/>
      </c>
      <c r="I70" s="42" t="str">
        <f aca="false">IF(F70="","",H70-CALCULO!C70)</f>
        <v/>
      </c>
      <c r="J70" s="40" t="str">
        <f aca="false">IF(F70="","",ROUND(CALCULO!B70/(1-IMPOSTOS-H70-TAXA_3X),2))</f>
        <v/>
      </c>
      <c r="K70" s="40" t="str">
        <f aca="false">IF(F70="","",ROUND(CALCULO!B70/(1-IMPOSTOS-H70-TAXA_6X),2))</f>
        <v/>
      </c>
      <c r="L70" s="40" t="str">
        <f aca="false">IF(F70="","",ROUND(CALCULO!B70/(1-IMPOSTOS-H70-TAXA_10X),2))</f>
        <v/>
      </c>
    </row>
    <row r="71" customFormat="false" ht="15" hidden="false" customHeight="true" outlineLevel="0" collapsed="false">
      <c r="A71" s="8" t="n">
        <f aca="false">CALCULO!A71</f>
        <v>0</v>
      </c>
      <c r="B71" s="40" t="str">
        <f aca="false">IF(CALCULO!D71="","",CALCULO!D71)</f>
        <v/>
      </c>
      <c r="C71" s="40" t="str">
        <f aca="false">IF(CALCULO!E71="","",CALCULO!E71)</f>
        <v/>
      </c>
      <c r="D71" s="40" t="str">
        <f aca="false">IF(CALCULO!F71="","",CALCULO!F71)</f>
        <v/>
      </c>
      <c r="E71" s="40" t="str">
        <f aca="false">IF(CALCULO!G71="","",CALCULO!G71)</f>
        <v/>
      </c>
      <c r="F71" s="41"/>
      <c r="G71" s="42" t="str">
        <f aca="false">IF(F71="","",ROUND((F71-B71)/B71,4))</f>
        <v/>
      </c>
      <c r="H71" s="42" t="str">
        <f aca="false">IF(F71="","",1-IMPOSTOS-CALCULO!B71/F71)</f>
        <v/>
      </c>
      <c r="I71" s="42" t="str">
        <f aca="false">IF(F71="","",H71-CALCULO!C71)</f>
        <v/>
      </c>
      <c r="J71" s="40" t="str">
        <f aca="false">IF(F71="","",ROUND(CALCULO!B71/(1-IMPOSTOS-H71-TAXA_3X),2))</f>
        <v/>
      </c>
      <c r="K71" s="40" t="str">
        <f aca="false">IF(F71="","",ROUND(CALCULO!B71/(1-IMPOSTOS-H71-TAXA_6X),2))</f>
        <v/>
      </c>
      <c r="L71" s="40" t="str">
        <f aca="false">IF(F71="","",ROUND(CALCULO!B71/(1-IMPOSTOS-H71-TAXA_10X),2))</f>
        <v/>
      </c>
    </row>
    <row r="72" customFormat="false" ht="15" hidden="false" customHeight="true" outlineLevel="0" collapsed="false">
      <c r="A72" s="8" t="n">
        <f aca="false">CALCULO!A72</f>
        <v>0</v>
      </c>
      <c r="B72" s="40" t="str">
        <f aca="false">IF(CALCULO!D72="","",CALCULO!D72)</f>
        <v/>
      </c>
      <c r="C72" s="40" t="str">
        <f aca="false">IF(CALCULO!E72="","",CALCULO!E72)</f>
        <v/>
      </c>
      <c r="D72" s="40" t="str">
        <f aca="false">IF(CALCULO!F72="","",CALCULO!F72)</f>
        <v/>
      </c>
      <c r="E72" s="40" t="str">
        <f aca="false">IF(CALCULO!G72="","",CALCULO!G72)</f>
        <v/>
      </c>
      <c r="F72" s="41"/>
      <c r="G72" s="42" t="str">
        <f aca="false">IF(F72="","",ROUND((F72-B72)/B72,4))</f>
        <v/>
      </c>
      <c r="H72" s="42" t="str">
        <f aca="false">IF(F72="","",1-IMPOSTOS-CALCULO!B72/F72)</f>
        <v/>
      </c>
      <c r="I72" s="42" t="str">
        <f aca="false">IF(F72="","",H72-CALCULO!C72)</f>
        <v/>
      </c>
      <c r="J72" s="40" t="str">
        <f aca="false">IF(F72="","",ROUND(CALCULO!B72/(1-IMPOSTOS-H72-TAXA_3X),2))</f>
        <v/>
      </c>
      <c r="K72" s="40" t="str">
        <f aca="false">IF(F72="","",ROUND(CALCULO!B72/(1-IMPOSTOS-H72-TAXA_6X),2))</f>
        <v/>
      </c>
      <c r="L72" s="40" t="str">
        <f aca="false">IF(F72="","",ROUND(CALCULO!B72/(1-IMPOSTOS-H72-TAXA_10X),2))</f>
        <v/>
      </c>
    </row>
    <row r="73" customFormat="false" ht="15" hidden="false" customHeight="true" outlineLevel="0" collapsed="false">
      <c r="A73" s="8" t="n">
        <f aca="false">CALCULO!A73</f>
        <v>0</v>
      </c>
      <c r="B73" s="40" t="str">
        <f aca="false">IF(CALCULO!D73="","",CALCULO!D73)</f>
        <v/>
      </c>
      <c r="C73" s="40" t="str">
        <f aca="false">IF(CALCULO!E73="","",CALCULO!E73)</f>
        <v/>
      </c>
      <c r="D73" s="40" t="str">
        <f aca="false">IF(CALCULO!F73="","",CALCULO!F73)</f>
        <v/>
      </c>
      <c r="E73" s="40" t="str">
        <f aca="false">IF(CALCULO!G73="","",CALCULO!G73)</f>
        <v/>
      </c>
      <c r="F73" s="41"/>
      <c r="G73" s="42" t="str">
        <f aca="false">IF(F73="","",ROUND((F73-B73)/B73,4))</f>
        <v/>
      </c>
      <c r="H73" s="42" t="str">
        <f aca="false">IF(F73="","",1-IMPOSTOS-CALCULO!B73/F73)</f>
        <v/>
      </c>
      <c r="I73" s="42" t="str">
        <f aca="false">IF(F73="","",H73-CALCULO!C73)</f>
        <v/>
      </c>
      <c r="J73" s="40" t="str">
        <f aca="false">IF(F73="","",ROUND(CALCULO!B73/(1-IMPOSTOS-H73-TAXA_3X),2))</f>
        <v/>
      </c>
      <c r="K73" s="40" t="str">
        <f aca="false">IF(F73="","",ROUND(CALCULO!B73/(1-IMPOSTOS-H73-TAXA_6X),2))</f>
        <v/>
      </c>
      <c r="L73" s="40" t="str">
        <f aca="false">IF(F73="","",ROUND(CALCULO!B73/(1-IMPOSTOS-H73-TAXA_10X),2))</f>
        <v/>
      </c>
    </row>
    <row r="74" customFormat="false" ht="15" hidden="false" customHeight="true" outlineLevel="0" collapsed="false">
      <c r="A74" s="8" t="n">
        <f aca="false">CALCULO!A74</f>
        <v>0</v>
      </c>
      <c r="B74" s="40" t="str">
        <f aca="false">IF(CALCULO!D74="","",CALCULO!D74)</f>
        <v/>
      </c>
      <c r="C74" s="40" t="str">
        <f aca="false">IF(CALCULO!E74="","",CALCULO!E74)</f>
        <v/>
      </c>
      <c r="D74" s="40" t="str">
        <f aca="false">IF(CALCULO!F74="","",CALCULO!F74)</f>
        <v/>
      </c>
      <c r="E74" s="40" t="str">
        <f aca="false">IF(CALCULO!G74="","",CALCULO!G74)</f>
        <v/>
      </c>
      <c r="F74" s="41"/>
      <c r="G74" s="42" t="str">
        <f aca="false">IF(F74="","",ROUND((F74-B74)/B74,4))</f>
        <v/>
      </c>
      <c r="H74" s="42" t="str">
        <f aca="false">IF(F74="","",1-IMPOSTOS-CALCULO!B74/F74)</f>
        <v/>
      </c>
      <c r="I74" s="42" t="str">
        <f aca="false">IF(F74="","",H74-CALCULO!C74)</f>
        <v/>
      </c>
      <c r="J74" s="40" t="str">
        <f aca="false">IF(F74="","",ROUND(CALCULO!B74/(1-IMPOSTOS-H74-TAXA_3X),2))</f>
        <v/>
      </c>
      <c r="K74" s="40" t="str">
        <f aca="false">IF(F74="","",ROUND(CALCULO!B74/(1-IMPOSTOS-H74-TAXA_6X),2))</f>
        <v/>
      </c>
      <c r="L74" s="40" t="str">
        <f aca="false">IF(F74="","",ROUND(CALCULO!B74/(1-IMPOSTOS-H74-TAXA_10X),2))</f>
        <v/>
      </c>
    </row>
    <row r="75" customFormat="false" ht="15" hidden="false" customHeight="true" outlineLevel="0" collapsed="false">
      <c r="A75" s="8" t="n">
        <f aca="false">CALCULO!A75</f>
        <v>0</v>
      </c>
      <c r="B75" s="40" t="str">
        <f aca="false">IF(CALCULO!D75="","",CALCULO!D75)</f>
        <v/>
      </c>
      <c r="C75" s="40" t="str">
        <f aca="false">IF(CALCULO!E75="","",CALCULO!E75)</f>
        <v/>
      </c>
      <c r="D75" s="40" t="str">
        <f aca="false">IF(CALCULO!F75="","",CALCULO!F75)</f>
        <v/>
      </c>
      <c r="E75" s="40" t="str">
        <f aca="false">IF(CALCULO!G75="","",CALCULO!G75)</f>
        <v/>
      </c>
      <c r="F75" s="41"/>
      <c r="G75" s="42" t="str">
        <f aca="false">IF(F75="","",ROUND((F75-B75)/B75,4))</f>
        <v/>
      </c>
      <c r="H75" s="42" t="str">
        <f aca="false">IF(F75="","",1-IMPOSTOS-CALCULO!B75/F75)</f>
        <v/>
      </c>
      <c r="I75" s="42" t="str">
        <f aca="false">IF(F75="","",H75-CALCULO!C75)</f>
        <v/>
      </c>
      <c r="J75" s="40" t="str">
        <f aca="false">IF(F75="","",ROUND(CALCULO!B75/(1-IMPOSTOS-H75-TAXA_3X),2))</f>
        <v/>
      </c>
      <c r="K75" s="40" t="str">
        <f aca="false">IF(F75="","",ROUND(CALCULO!B75/(1-IMPOSTOS-H75-TAXA_6X),2))</f>
        <v/>
      </c>
      <c r="L75" s="40" t="str">
        <f aca="false">IF(F75="","",ROUND(CALCULO!B75/(1-IMPOSTOS-H75-TAXA_10X),2))</f>
        <v/>
      </c>
    </row>
    <row r="76" customFormat="false" ht="15" hidden="false" customHeight="true" outlineLevel="0" collapsed="false">
      <c r="A76" s="8" t="n">
        <f aca="false">CALCULO!A76</f>
        <v>0</v>
      </c>
      <c r="B76" s="40" t="str">
        <f aca="false">IF(CALCULO!D76="","",CALCULO!D76)</f>
        <v/>
      </c>
      <c r="C76" s="40" t="str">
        <f aca="false">IF(CALCULO!E76="","",CALCULO!E76)</f>
        <v/>
      </c>
      <c r="D76" s="40" t="str">
        <f aca="false">IF(CALCULO!F76="","",CALCULO!F76)</f>
        <v/>
      </c>
      <c r="E76" s="40" t="str">
        <f aca="false">IF(CALCULO!G76="","",CALCULO!G76)</f>
        <v/>
      </c>
      <c r="F76" s="41"/>
      <c r="G76" s="42" t="str">
        <f aca="false">IF(F76="","",ROUND((F76-B76)/B76,4))</f>
        <v/>
      </c>
      <c r="H76" s="42" t="str">
        <f aca="false">IF(F76="","",1-IMPOSTOS-CALCULO!B76/F76)</f>
        <v/>
      </c>
      <c r="I76" s="42" t="str">
        <f aca="false">IF(F76="","",H76-CALCULO!C76)</f>
        <v/>
      </c>
      <c r="J76" s="40" t="str">
        <f aca="false">IF(F76="","",ROUND(CALCULO!B76/(1-IMPOSTOS-H76-TAXA_3X),2))</f>
        <v/>
      </c>
      <c r="K76" s="40" t="str">
        <f aca="false">IF(F76="","",ROUND(CALCULO!B76/(1-IMPOSTOS-H76-TAXA_6X),2))</f>
        <v/>
      </c>
      <c r="L76" s="40" t="str">
        <f aca="false">IF(F76="","",ROUND(CALCULO!B76/(1-IMPOSTOS-H76-TAXA_10X),2))</f>
        <v/>
      </c>
    </row>
    <row r="77" customFormat="false" ht="15" hidden="false" customHeight="true" outlineLevel="0" collapsed="false">
      <c r="A77" s="8" t="n">
        <f aca="false">CALCULO!A77</f>
        <v>0</v>
      </c>
      <c r="B77" s="40" t="str">
        <f aca="false">IF(CALCULO!D77="","",CALCULO!D77)</f>
        <v/>
      </c>
      <c r="C77" s="40" t="str">
        <f aca="false">IF(CALCULO!E77="","",CALCULO!E77)</f>
        <v/>
      </c>
      <c r="D77" s="40" t="str">
        <f aca="false">IF(CALCULO!F77="","",CALCULO!F77)</f>
        <v/>
      </c>
      <c r="E77" s="40" t="str">
        <f aca="false">IF(CALCULO!G77="","",CALCULO!G77)</f>
        <v/>
      </c>
      <c r="F77" s="41"/>
      <c r="G77" s="42" t="str">
        <f aca="false">IF(F77="","",ROUND((F77-B77)/B77,4))</f>
        <v/>
      </c>
      <c r="H77" s="42" t="str">
        <f aca="false">IF(F77="","",1-IMPOSTOS-CALCULO!B77/F77)</f>
        <v/>
      </c>
      <c r="I77" s="42" t="str">
        <f aca="false">IF(F77="","",H77-CALCULO!C77)</f>
        <v/>
      </c>
      <c r="J77" s="40" t="str">
        <f aca="false">IF(F77="","",ROUND(CALCULO!B77/(1-IMPOSTOS-H77-TAXA_3X),2))</f>
        <v/>
      </c>
      <c r="K77" s="40" t="str">
        <f aca="false">IF(F77="","",ROUND(CALCULO!B77/(1-IMPOSTOS-H77-TAXA_6X),2))</f>
        <v/>
      </c>
      <c r="L77" s="40" t="str">
        <f aca="false">IF(F77="","",ROUND(CALCULO!B77/(1-IMPOSTOS-H77-TAXA_10X),2))</f>
        <v/>
      </c>
    </row>
    <row r="78" customFormat="false" ht="15" hidden="false" customHeight="true" outlineLevel="0" collapsed="false">
      <c r="A78" s="8" t="n">
        <f aca="false">CALCULO!A78</f>
        <v>0</v>
      </c>
      <c r="B78" s="40" t="str">
        <f aca="false">IF(CALCULO!D78="","",CALCULO!D78)</f>
        <v/>
      </c>
      <c r="C78" s="40" t="str">
        <f aca="false">IF(CALCULO!E78="","",CALCULO!E78)</f>
        <v/>
      </c>
      <c r="D78" s="40" t="str">
        <f aca="false">IF(CALCULO!F78="","",CALCULO!F78)</f>
        <v/>
      </c>
      <c r="E78" s="40" t="str">
        <f aca="false">IF(CALCULO!G78="","",CALCULO!G78)</f>
        <v/>
      </c>
      <c r="F78" s="41"/>
      <c r="G78" s="42" t="str">
        <f aca="false">IF(F78="","",ROUND((F78-B78)/B78,4))</f>
        <v/>
      </c>
      <c r="H78" s="42" t="str">
        <f aca="false">IF(F78="","",1-IMPOSTOS-CALCULO!B78/F78)</f>
        <v/>
      </c>
      <c r="I78" s="42" t="str">
        <f aca="false">IF(F78="","",H78-CALCULO!C78)</f>
        <v/>
      </c>
      <c r="J78" s="40" t="str">
        <f aca="false">IF(F78="","",ROUND(CALCULO!B78/(1-IMPOSTOS-H78-TAXA_3X),2))</f>
        <v/>
      </c>
      <c r="K78" s="40" t="str">
        <f aca="false">IF(F78="","",ROUND(CALCULO!B78/(1-IMPOSTOS-H78-TAXA_6X),2))</f>
        <v/>
      </c>
      <c r="L78" s="40" t="str">
        <f aca="false">IF(F78="","",ROUND(CALCULO!B78/(1-IMPOSTOS-H78-TAXA_10X),2))</f>
        <v/>
      </c>
    </row>
    <row r="79" customFormat="false" ht="15" hidden="false" customHeight="true" outlineLevel="0" collapsed="false">
      <c r="A79" s="8" t="n">
        <f aca="false">CALCULO!A79</f>
        <v>0</v>
      </c>
      <c r="B79" s="40" t="str">
        <f aca="false">IF(CALCULO!D79="","",CALCULO!D79)</f>
        <v/>
      </c>
      <c r="C79" s="40" t="str">
        <f aca="false">IF(CALCULO!E79="","",CALCULO!E79)</f>
        <v/>
      </c>
      <c r="D79" s="40" t="str">
        <f aca="false">IF(CALCULO!F79="","",CALCULO!F79)</f>
        <v/>
      </c>
      <c r="E79" s="40" t="str">
        <f aca="false">IF(CALCULO!G79="","",CALCULO!G79)</f>
        <v/>
      </c>
      <c r="F79" s="41"/>
      <c r="G79" s="42" t="str">
        <f aca="false">IF(F79="","",ROUND((F79-B79)/B79,4))</f>
        <v/>
      </c>
      <c r="H79" s="42" t="str">
        <f aca="false">IF(F79="","",1-IMPOSTOS-CALCULO!B79/F79)</f>
        <v/>
      </c>
      <c r="I79" s="42" t="str">
        <f aca="false">IF(F79="","",H79-CALCULO!C79)</f>
        <v/>
      </c>
      <c r="J79" s="40" t="str">
        <f aca="false">IF(F79="","",ROUND(CALCULO!B79/(1-IMPOSTOS-H79-TAXA_3X),2))</f>
        <v/>
      </c>
      <c r="K79" s="40" t="str">
        <f aca="false">IF(F79="","",ROUND(CALCULO!B79/(1-IMPOSTOS-H79-TAXA_6X),2))</f>
        <v/>
      </c>
      <c r="L79" s="40" t="str">
        <f aca="false">IF(F79="","",ROUND(CALCULO!B79/(1-IMPOSTOS-H79-TAXA_10X),2))</f>
        <v/>
      </c>
    </row>
    <row r="80" customFormat="false" ht="15" hidden="false" customHeight="true" outlineLevel="0" collapsed="false">
      <c r="A80" s="8" t="n">
        <f aca="false">CALCULO!A80</f>
        <v>0</v>
      </c>
      <c r="B80" s="40" t="str">
        <f aca="false">IF(CALCULO!D80="","",CALCULO!D80)</f>
        <v/>
      </c>
      <c r="C80" s="40" t="str">
        <f aca="false">IF(CALCULO!E80="","",CALCULO!E80)</f>
        <v/>
      </c>
      <c r="D80" s="40" t="str">
        <f aca="false">IF(CALCULO!F80="","",CALCULO!F80)</f>
        <v/>
      </c>
      <c r="E80" s="40" t="str">
        <f aca="false">IF(CALCULO!G80="","",CALCULO!G80)</f>
        <v/>
      </c>
      <c r="F80" s="41"/>
      <c r="G80" s="42" t="str">
        <f aca="false">IF(F80="","",ROUND((F80-B80)/B80,4))</f>
        <v/>
      </c>
      <c r="H80" s="42" t="str">
        <f aca="false">IF(F80="","",1-IMPOSTOS-CALCULO!B80/F80)</f>
        <v/>
      </c>
      <c r="I80" s="42" t="str">
        <f aca="false">IF(F80="","",H80-CALCULO!C80)</f>
        <v/>
      </c>
      <c r="J80" s="40" t="str">
        <f aca="false">IF(F80="","",ROUND(CALCULO!B80/(1-IMPOSTOS-H80-TAXA_3X),2))</f>
        <v/>
      </c>
      <c r="K80" s="40" t="str">
        <f aca="false">IF(F80="","",ROUND(CALCULO!B80/(1-IMPOSTOS-H80-TAXA_6X),2))</f>
        <v/>
      </c>
      <c r="L80" s="40" t="str">
        <f aca="false">IF(F80="","",ROUND(CALCULO!B80/(1-IMPOSTOS-H80-TAXA_10X),2))</f>
        <v/>
      </c>
    </row>
    <row r="81" customFormat="false" ht="15" hidden="false" customHeight="true" outlineLevel="0" collapsed="false">
      <c r="A81" s="8" t="n">
        <f aca="false">CALCULO!A81</f>
        <v>0</v>
      </c>
      <c r="B81" s="40" t="str">
        <f aca="false">IF(CALCULO!D81="","",CALCULO!D81)</f>
        <v/>
      </c>
      <c r="C81" s="40" t="str">
        <f aca="false">IF(CALCULO!E81="","",CALCULO!E81)</f>
        <v/>
      </c>
      <c r="D81" s="40" t="str">
        <f aca="false">IF(CALCULO!F81="","",CALCULO!F81)</f>
        <v/>
      </c>
      <c r="E81" s="40" t="str">
        <f aca="false">IF(CALCULO!G81="","",CALCULO!G81)</f>
        <v/>
      </c>
      <c r="F81" s="41"/>
      <c r="G81" s="42" t="str">
        <f aca="false">IF(F81="","",ROUND((F81-B81)/B81,4))</f>
        <v/>
      </c>
      <c r="H81" s="42" t="str">
        <f aca="false">IF(F81="","",1-IMPOSTOS-CALCULO!B81/F81)</f>
        <v/>
      </c>
      <c r="I81" s="42" t="str">
        <f aca="false">IF(F81="","",H81-CALCULO!C81)</f>
        <v/>
      </c>
      <c r="J81" s="40" t="str">
        <f aca="false">IF(F81="","",ROUND(CALCULO!B81/(1-IMPOSTOS-H81-TAXA_3X),2))</f>
        <v/>
      </c>
      <c r="K81" s="40" t="str">
        <f aca="false">IF(F81="","",ROUND(CALCULO!B81/(1-IMPOSTOS-H81-TAXA_6X),2))</f>
        <v/>
      </c>
      <c r="L81" s="40" t="str">
        <f aca="false">IF(F81="","",ROUND(CALCULO!B81/(1-IMPOSTOS-H81-TAXA_10X),2))</f>
        <v/>
      </c>
    </row>
    <row r="82" customFormat="false" ht="15" hidden="false" customHeight="true" outlineLevel="0" collapsed="false">
      <c r="A82" s="8" t="n">
        <f aca="false">CALCULO!A82</f>
        <v>0</v>
      </c>
      <c r="B82" s="40" t="str">
        <f aca="false">IF(CALCULO!D82="","",CALCULO!D82)</f>
        <v/>
      </c>
      <c r="C82" s="40" t="str">
        <f aca="false">IF(CALCULO!E82="","",CALCULO!E82)</f>
        <v/>
      </c>
      <c r="D82" s="40" t="str">
        <f aca="false">IF(CALCULO!F82="","",CALCULO!F82)</f>
        <v/>
      </c>
      <c r="E82" s="40" t="str">
        <f aca="false">IF(CALCULO!G82="","",CALCULO!G82)</f>
        <v/>
      </c>
      <c r="F82" s="41"/>
      <c r="G82" s="42" t="str">
        <f aca="false">IF(F82="","",ROUND((F82-B82)/B82,4))</f>
        <v/>
      </c>
      <c r="H82" s="42" t="str">
        <f aca="false">IF(F82="","",1-IMPOSTOS-CALCULO!B82/F82)</f>
        <v/>
      </c>
      <c r="I82" s="42" t="str">
        <f aca="false">IF(F82="","",H82-CALCULO!C82)</f>
        <v/>
      </c>
      <c r="J82" s="40" t="str">
        <f aca="false">IF(F82="","",ROUND(CALCULO!B82/(1-IMPOSTOS-H82-TAXA_3X),2))</f>
        <v/>
      </c>
      <c r="K82" s="40" t="str">
        <f aca="false">IF(F82="","",ROUND(CALCULO!B82/(1-IMPOSTOS-H82-TAXA_6X),2))</f>
        <v/>
      </c>
      <c r="L82" s="40" t="str">
        <f aca="false">IF(F82="","",ROUND(CALCULO!B82/(1-IMPOSTOS-H82-TAXA_10X),2))</f>
        <v/>
      </c>
    </row>
    <row r="83" customFormat="false" ht="15" hidden="false" customHeight="true" outlineLevel="0" collapsed="false">
      <c r="A83" s="8" t="n">
        <f aca="false">CALCULO!A83</f>
        <v>0</v>
      </c>
      <c r="B83" s="40" t="str">
        <f aca="false">IF(CALCULO!D83="","",CALCULO!D83)</f>
        <v/>
      </c>
      <c r="C83" s="40" t="str">
        <f aca="false">IF(CALCULO!E83="","",CALCULO!E83)</f>
        <v/>
      </c>
      <c r="D83" s="40" t="str">
        <f aca="false">IF(CALCULO!F83="","",CALCULO!F83)</f>
        <v/>
      </c>
      <c r="E83" s="40" t="str">
        <f aca="false">IF(CALCULO!G83="","",CALCULO!G83)</f>
        <v/>
      </c>
      <c r="F83" s="41"/>
      <c r="G83" s="42" t="str">
        <f aca="false">IF(F83="","",ROUND((F83-B83)/B83,4))</f>
        <v/>
      </c>
      <c r="H83" s="42" t="str">
        <f aca="false">IF(F83="","",1-IMPOSTOS-CALCULO!B83/F83)</f>
        <v/>
      </c>
      <c r="I83" s="42" t="str">
        <f aca="false">IF(F83="","",H83-CALCULO!C83)</f>
        <v/>
      </c>
      <c r="J83" s="40" t="str">
        <f aca="false">IF(F83="","",ROUND(CALCULO!B83/(1-IMPOSTOS-H83-TAXA_3X),2))</f>
        <v/>
      </c>
      <c r="K83" s="40" t="str">
        <f aca="false">IF(F83="","",ROUND(CALCULO!B83/(1-IMPOSTOS-H83-TAXA_6X),2))</f>
        <v/>
      </c>
      <c r="L83" s="40" t="str">
        <f aca="false">IF(F83="","",ROUND(CALCULO!B83/(1-IMPOSTOS-H83-TAXA_10X),2))</f>
        <v/>
      </c>
    </row>
    <row r="84" customFormat="false" ht="15" hidden="false" customHeight="true" outlineLevel="0" collapsed="false">
      <c r="A84" s="8" t="n">
        <f aca="false">CALCULO!A84</f>
        <v>0</v>
      </c>
      <c r="B84" s="40" t="str">
        <f aca="false">IF(CALCULO!D84="","",CALCULO!D84)</f>
        <v/>
      </c>
      <c r="C84" s="40" t="str">
        <f aca="false">IF(CALCULO!E84="","",CALCULO!E84)</f>
        <v/>
      </c>
      <c r="D84" s="40" t="str">
        <f aca="false">IF(CALCULO!F84="","",CALCULO!F84)</f>
        <v/>
      </c>
      <c r="E84" s="40" t="str">
        <f aca="false">IF(CALCULO!G84="","",CALCULO!G84)</f>
        <v/>
      </c>
      <c r="F84" s="41"/>
      <c r="G84" s="42" t="str">
        <f aca="false">IF(F84="","",ROUND((F84-B84)/B84,4))</f>
        <v/>
      </c>
      <c r="H84" s="42" t="str">
        <f aca="false">IF(F84="","",1-IMPOSTOS-CALCULO!B84/F84)</f>
        <v/>
      </c>
      <c r="I84" s="42" t="str">
        <f aca="false">IF(F84="","",H84-CALCULO!C84)</f>
        <v/>
      </c>
      <c r="J84" s="40" t="str">
        <f aca="false">IF(F84="","",ROUND(CALCULO!B84/(1-IMPOSTOS-H84-TAXA_3X),2))</f>
        <v/>
      </c>
      <c r="K84" s="40" t="str">
        <f aca="false">IF(F84="","",ROUND(CALCULO!B84/(1-IMPOSTOS-H84-TAXA_6X),2))</f>
        <v/>
      </c>
      <c r="L84" s="40" t="str">
        <f aca="false">IF(F84="","",ROUND(CALCULO!B84/(1-IMPOSTOS-H84-TAXA_10X),2))</f>
        <v/>
      </c>
    </row>
    <row r="85" customFormat="false" ht="15" hidden="false" customHeight="true" outlineLevel="0" collapsed="false">
      <c r="A85" s="8" t="n">
        <f aca="false">CALCULO!A85</f>
        <v>0</v>
      </c>
      <c r="B85" s="40" t="str">
        <f aca="false">IF(CALCULO!D85="","",CALCULO!D85)</f>
        <v/>
      </c>
      <c r="C85" s="40" t="str">
        <f aca="false">IF(CALCULO!E85="","",CALCULO!E85)</f>
        <v/>
      </c>
      <c r="D85" s="40" t="str">
        <f aca="false">IF(CALCULO!F85="","",CALCULO!F85)</f>
        <v/>
      </c>
      <c r="E85" s="40" t="str">
        <f aca="false">IF(CALCULO!G85="","",CALCULO!G85)</f>
        <v/>
      </c>
      <c r="F85" s="41"/>
      <c r="G85" s="42" t="str">
        <f aca="false">IF(F85="","",ROUND((F85-B85)/B85,4))</f>
        <v/>
      </c>
      <c r="H85" s="42" t="str">
        <f aca="false">IF(F85="","",1-IMPOSTOS-CALCULO!B85/F85)</f>
        <v/>
      </c>
      <c r="I85" s="42" t="str">
        <f aca="false">IF(F85="","",H85-CALCULO!C85)</f>
        <v/>
      </c>
      <c r="J85" s="40" t="str">
        <f aca="false">IF(F85="","",ROUND(CALCULO!B85/(1-IMPOSTOS-H85-TAXA_3X),2))</f>
        <v/>
      </c>
      <c r="K85" s="40" t="str">
        <f aca="false">IF(F85="","",ROUND(CALCULO!B85/(1-IMPOSTOS-H85-TAXA_6X),2))</f>
        <v/>
      </c>
      <c r="L85" s="40" t="str">
        <f aca="false">IF(F85="","",ROUND(CALCULO!B85/(1-IMPOSTOS-H85-TAXA_10X),2))</f>
        <v/>
      </c>
    </row>
    <row r="86" customFormat="false" ht="15" hidden="false" customHeight="true" outlineLevel="0" collapsed="false">
      <c r="A86" s="8" t="n">
        <f aca="false">CALCULO!A86</f>
        <v>0</v>
      </c>
      <c r="B86" s="40" t="str">
        <f aca="false">IF(CALCULO!D86="","",CALCULO!D86)</f>
        <v/>
      </c>
      <c r="C86" s="40" t="str">
        <f aca="false">IF(CALCULO!E86="","",CALCULO!E86)</f>
        <v/>
      </c>
      <c r="D86" s="40" t="str">
        <f aca="false">IF(CALCULO!F86="","",CALCULO!F86)</f>
        <v/>
      </c>
      <c r="E86" s="40" t="str">
        <f aca="false">IF(CALCULO!G86="","",CALCULO!G86)</f>
        <v/>
      </c>
      <c r="F86" s="41"/>
      <c r="G86" s="42" t="str">
        <f aca="false">IF(F86="","",ROUND((F86-B86)/B86,4))</f>
        <v/>
      </c>
      <c r="H86" s="42" t="str">
        <f aca="false">IF(F86="","",1-IMPOSTOS-CALCULO!B86/F86)</f>
        <v/>
      </c>
      <c r="I86" s="42" t="str">
        <f aca="false">IF(F86="","",H86-CALCULO!C86)</f>
        <v/>
      </c>
      <c r="J86" s="40" t="str">
        <f aca="false">IF(F86="","",ROUND(CALCULO!B86/(1-IMPOSTOS-H86-TAXA_3X),2))</f>
        <v/>
      </c>
      <c r="K86" s="40" t="str">
        <f aca="false">IF(F86="","",ROUND(CALCULO!B86/(1-IMPOSTOS-H86-TAXA_6X),2))</f>
        <v/>
      </c>
      <c r="L86" s="40" t="str">
        <f aca="false">IF(F86="","",ROUND(CALCULO!B86/(1-IMPOSTOS-H86-TAXA_10X),2))</f>
        <v/>
      </c>
    </row>
    <row r="87" customFormat="false" ht="15" hidden="false" customHeight="true" outlineLevel="0" collapsed="false">
      <c r="A87" s="8" t="n">
        <f aca="false">CALCULO!A87</f>
        <v>0</v>
      </c>
      <c r="B87" s="40" t="str">
        <f aca="false">IF(CALCULO!D87="","",CALCULO!D87)</f>
        <v/>
      </c>
      <c r="C87" s="40" t="str">
        <f aca="false">IF(CALCULO!E87="","",CALCULO!E87)</f>
        <v/>
      </c>
      <c r="D87" s="40" t="str">
        <f aca="false">IF(CALCULO!F87="","",CALCULO!F87)</f>
        <v/>
      </c>
      <c r="E87" s="40" t="str">
        <f aca="false">IF(CALCULO!G87="","",CALCULO!G87)</f>
        <v/>
      </c>
      <c r="F87" s="41"/>
      <c r="G87" s="42" t="str">
        <f aca="false">IF(F87="","",ROUND((F87-B87)/B87,4))</f>
        <v/>
      </c>
      <c r="H87" s="42" t="str">
        <f aca="false">IF(F87="","",1-IMPOSTOS-CALCULO!B87/F87)</f>
        <v/>
      </c>
      <c r="I87" s="42" t="str">
        <f aca="false">IF(F87="","",H87-CALCULO!C87)</f>
        <v/>
      </c>
      <c r="J87" s="40" t="str">
        <f aca="false">IF(F87="","",ROUND(CALCULO!B87/(1-IMPOSTOS-H87-TAXA_3X),2))</f>
        <v/>
      </c>
      <c r="K87" s="40" t="str">
        <f aca="false">IF(F87="","",ROUND(CALCULO!B87/(1-IMPOSTOS-H87-TAXA_6X),2))</f>
        <v/>
      </c>
      <c r="L87" s="40" t="str">
        <f aca="false">IF(F87="","",ROUND(CALCULO!B87/(1-IMPOSTOS-H87-TAXA_10X),2))</f>
        <v/>
      </c>
    </row>
    <row r="88" customFormat="false" ht="15" hidden="false" customHeight="true" outlineLevel="0" collapsed="false">
      <c r="A88" s="8" t="n">
        <f aca="false">CALCULO!A88</f>
        <v>0</v>
      </c>
      <c r="B88" s="40" t="str">
        <f aca="false">IF(CALCULO!D88="","",CALCULO!D88)</f>
        <v/>
      </c>
      <c r="C88" s="40" t="str">
        <f aca="false">IF(CALCULO!E88="","",CALCULO!E88)</f>
        <v/>
      </c>
      <c r="D88" s="40" t="str">
        <f aca="false">IF(CALCULO!F88="","",CALCULO!F88)</f>
        <v/>
      </c>
      <c r="E88" s="40" t="str">
        <f aca="false">IF(CALCULO!G88="","",CALCULO!G88)</f>
        <v/>
      </c>
      <c r="F88" s="41"/>
      <c r="G88" s="42" t="str">
        <f aca="false">IF(F88="","",ROUND((F88-B88)/B88,4))</f>
        <v/>
      </c>
      <c r="H88" s="42" t="str">
        <f aca="false">IF(F88="","",1-IMPOSTOS-CALCULO!B88/F88)</f>
        <v/>
      </c>
      <c r="I88" s="42" t="str">
        <f aca="false">IF(F88="","",H88-CALCULO!C88)</f>
        <v/>
      </c>
      <c r="J88" s="40" t="str">
        <f aca="false">IF(F88="","",ROUND(CALCULO!B88/(1-IMPOSTOS-H88-TAXA_3X),2))</f>
        <v/>
      </c>
      <c r="K88" s="40" t="str">
        <f aca="false">IF(F88="","",ROUND(CALCULO!B88/(1-IMPOSTOS-H88-TAXA_6X),2))</f>
        <v/>
      </c>
      <c r="L88" s="40" t="str">
        <f aca="false">IF(F88="","",ROUND(CALCULO!B88/(1-IMPOSTOS-H88-TAXA_10X),2))</f>
        <v/>
      </c>
    </row>
    <row r="89" customFormat="false" ht="15" hidden="false" customHeight="true" outlineLevel="0" collapsed="false">
      <c r="A89" s="8" t="n">
        <f aca="false">CALCULO!A89</f>
        <v>0</v>
      </c>
      <c r="B89" s="40" t="str">
        <f aca="false">IF(CALCULO!D89="","",CALCULO!D89)</f>
        <v/>
      </c>
      <c r="C89" s="40" t="str">
        <f aca="false">IF(CALCULO!E89="","",CALCULO!E89)</f>
        <v/>
      </c>
      <c r="D89" s="40" t="str">
        <f aca="false">IF(CALCULO!F89="","",CALCULO!F89)</f>
        <v/>
      </c>
      <c r="E89" s="40" t="str">
        <f aca="false">IF(CALCULO!G89="","",CALCULO!G89)</f>
        <v/>
      </c>
      <c r="F89" s="41"/>
      <c r="G89" s="42" t="str">
        <f aca="false">IF(F89="","",ROUND((F89-B89)/B89,4))</f>
        <v/>
      </c>
      <c r="H89" s="42" t="str">
        <f aca="false">IF(F89="","",1-IMPOSTOS-CALCULO!B89/F89)</f>
        <v/>
      </c>
      <c r="I89" s="42" t="str">
        <f aca="false">IF(F89="","",H89-CALCULO!C89)</f>
        <v/>
      </c>
      <c r="J89" s="40" t="str">
        <f aca="false">IF(F89="","",ROUND(CALCULO!B89/(1-IMPOSTOS-H89-TAXA_3X),2))</f>
        <v/>
      </c>
      <c r="K89" s="40" t="str">
        <f aca="false">IF(F89="","",ROUND(CALCULO!B89/(1-IMPOSTOS-H89-TAXA_6X),2))</f>
        <v/>
      </c>
      <c r="L89" s="40" t="str">
        <f aca="false">IF(F89="","",ROUND(CALCULO!B89/(1-IMPOSTOS-H89-TAXA_10X),2))</f>
        <v/>
      </c>
    </row>
    <row r="90" customFormat="false" ht="15" hidden="false" customHeight="true" outlineLevel="0" collapsed="false">
      <c r="A90" s="8" t="n">
        <f aca="false">CALCULO!A90</f>
        <v>0</v>
      </c>
      <c r="B90" s="40" t="str">
        <f aca="false">IF(CALCULO!D90="","",CALCULO!D90)</f>
        <v/>
      </c>
      <c r="C90" s="40" t="str">
        <f aca="false">IF(CALCULO!E90="","",CALCULO!E90)</f>
        <v/>
      </c>
      <c r="D90" s="40" t="str">
        <f aca="false">IF(CALCULO!F90="","",CALCULO!F90)</f>
        <v/>
      </c>
      <c r="E90" s="40" t="str">
        <f aca="false">IF(CALCULO!G90="","",CALCULO!G90)</f>
        <v/>
      </c>
      <c r="F90" s="41"/>
      <c r="G90" s="42" t="str">
        <f aca="false">IF(F90="","",ROUND((F90-B90)/B90,4))</f>
        <v/>
      </c>
      <c r="H90" s="42" t="str">
        <f aca="false">IF(F90="","",1-IMPOSTOS-CALCULO!B90/F90)</f>
        <v/>
      </c>
      <c r="I90" s="42" t="str">
        <f aca="false">IF(F90="","",H90-CALCULO!C90)</f>
        <v/>
      </c>
      <c r="J90" s="40" t="str">
        <f aca="false">IF(F90="","",ROUND(CALCULO!B90/(1-IMPOSTOS-H90-TAXA_3X),2))</f>
        <v/>
      </c>
      <c r="K90" s="40" t="str">
        <f aca="false">IF(F90="","",ROUND(CALCULO!B90/(1-IMPOSTOS-H90-TAXA_6X),2))</f>
        <v/>
      </c>
      <c r="L90" s="40" t="str">
        <f aca="false">IF(F90="","",ROUND(CALCULO!B90/(1-IMPOSTOS-H90-TAXA_10X),2))</f>
        <v/>
      </c>
    </row>
    <row r="91" customFormat="false" ht="15" hidden="false" customHeight="true" outlineLevel="0" collapsed="false">
      <c r="A91" s="8" t="n">
        <f aca="false">CALCULO!A91</f>
        <v>0</v>
      </c>
      <c r="B91" s="40" t="str">
        <f aca="false">IF(CALCULO!D91="","",CALCULO!D91)</f>
        <v/>
      </c>
      <c r="C91" s="40" t="str">
        <f aca="false">IF(CALCULO!E91="","",CALCULO!E91)</f>
        <v/>
      </c>
      <c r="D91" s="40" t="str">
        <f aca="false">IF(CALCULO!F91="","",CALCULO!F91)</f>
        <v/>
      </c>
      <c r="E91" s="40" t="str">
        <f aca="false">IF(CALCULO!G91="","",CALCULO!G91)</f>
        <v/>
      </c>
      <c r="F91" s="41"/>
      <c r="G91" s="42" t="str">
        <f aca="false">IF(F91="","",ROUND((F91-B91)/B91,4))</f>
        <v/>
      </c>
      <c r="H91" s="42" t="str">
        <f aca="false">IF(F91="","",1-IMPOSTOS-CALCULO!B91/F91)</f>
        <v/>
      </c>
      <c r="I91" s="42" t="str">
        <f aca="false">IF(F91="","",H91-CALCULO!C91)</f>
        <v/>
      </c>
      <c r="J91" s="40" t="str">
        <f aca="false">IF(F91="","",ROUND(CALCULO!B91/(1-IMPOSTOS-H91-TAXA_3X),2))</f>
        <v/>
      </c>
      <c r="K91" s="40" t="str">
        <f aca="false">IF(F91="","",ROUND(CALCULO!B91/(1-IMPOSTOS-H91-TAXA_6X),2))</f>
        <v/>
      </c>
      <c r="L91" s="40" t="str">
        <f aca="false">IF(F91="","",ROUND(CALCULO!B91/(1-IMPOSTOS-H91-TAXA_10X),2))</f>
        <v/>
      </c>
    </row>
    <row r="92" customFormat="false" ht="15" hidden="false" customHeight="true" outlineLevel="0" collapsed="false">
      <c r="A92" s="8" t="n">
        <f aca="false">CALCULO!A92</f>
        <v>0</v>
      </c>
      <c r="B92" s="40" t="str">
        <f aca="false">IF(CALCULO!D92="","",CALCULO!D92)</f>
        <v/>
      </c>
      <c r="C92" s="40" t="str">
        <f aca="false">IF(CALCULO!E92="","",CALCULO!E92)</f>
        <v/>
      </c>
      <c r="D92" s="40" t="str">
        <f aca="false">IF(CALCULO!F92="","",CALCULO!F92)</f>
        <v/>
      </c>
      <c r="E92" s="40" t="str">
        <f aca="false">IF(CALCULO!G92="","",CALCULO!G92)</f>
        <v/>
      </c>
      <c r="F92" s="41"/>
      <c r="G92" s="42" t="str">
        <f aca="false">IF(F92="","",ROUND((F92-B92)/B92,4))</f>
        <v/>
      </c>
      <c r="H92" s="42" t="str">
        <f aca="false">IF(F92="","",1-IMPOSTOS-CALCULO!B92/F92)</f>
        <v/>
      </c>
      <c r="I92" s="42" t="str">
        <f aca="false">IF(F92="","",H92-CALCULO!C92)</f>
        <v/>
      </c>
      <c r="J92" s="40" t="str">
        <f aca="false">IF(F92="","",ROUND(CALCULO!B92/(1-IMPOSTOS-H92-TAXA_3X),2))</f>
        <v/>
      </c>
      <c r="K92" s="40" t="str">
        <f aca="false">IF(F92="","",ROUND(CALCULO!B92/(1-IMPOSTOS-H92-TAXA_6X),2))</f>
        <v/>
      </c>
      <c r="L92" s="40" t="str">
        <f aca="false">IF(F92="","",ROUND(CALCULO!B92/(1-IMPOSTOS-H92-TAXA_10X),2))</f>
        <v/>
      </c>
    </row>
    <row r="93" customFormat="false" ht="15" hidden="false" customHeight="true" outlineLevel="0" collapsed="false">
      <c r="A93" s="8" t="n">
        <f aca="false">CALCULO!A93</f>
        <v>0</v>
      </c>
      <c r="B93" s="40" t="str">
        <f aca="false">IF(CALCULO!D93="","",CALCULO!D93)</f>
        <v/>
      </c>
      <c r="C93" s="40" t="str">
        <f aca="false">IF(CALCULO!E93="","",CALCULO!E93)</f>
        <v/>
      </c>
      <c r="D93" s="40" t="str">
        <f aca="false">IF(CALCULO!F93="","",CALCULO!F93)</f>
        <v/>
      </c>
      <c r="E93" s="40" t="str">
        <f aca="false">IF(CALCULO!G93="","",CALCULO!G93)</f>
        <v/>
      </c>
      <c r="F93" s="41"/>
      <c r="G93" s="42" t="str">
        <f aca="false">IF(F93="","",ROUND((F93-B93)/B93,4))</f>
        <v/>
      </c>
      <c r="H93" s="42" t="str">
        <f aca="false">IF(F93="","",1-IMPOSTOS-CALCULO!B93/F93)</f>
        <v/>
      </c>
      <c r="I93" s="42" t="str">
        <f aca="false">IF(F93="","",H93-CALCULO!C93)</f>
        <v/>
      </c>
      <c r="J93" s="40" t="str">
        <f aca="false">IF(F93="","",ROUND(CALCULO!B93/(1-IMPOSTOS-H93-TAXA_3X),2))</f>
        <v/>
      </c>
      <c r="K93" s="40" t="str">
        <f aca="false">IF(F93="","",ROUND(CALCULO!B93/(1-IMPOSTOS-H93-TAXA_6X),2))</f>
        <v/>
      </c>
      <c r="L93" s="40" t="str">
        <f aca="false">IF(F93="","",ROUND(CALCULO!B93/(1-IMPOSTOS-H93-TAXA_10X),2))</f>
        <v/>
      </c>
    </row>
    <row r="94" customFormat="false" ht="15" hidden="false" customHeight="true" outlineLevel="0" collapsed="false">
      <c r="A94" s="8" t="n">
        <f aca="false">CALCULO!A94</f>
        <v>0</v>
      </c>
      <c r="B94" s="40" t="str">
        <f aca="false">IF(CALCULO!D94="","",CALCULO!D94)</f>
        <v/>
      </c>
      <c r="C94" s="40" t="str">
        <f aca="false">IF(CALCULO!E94="","",CALCULO!E94)</f>
        <v/>
      </c>
      <c r="D94" s="40" t="str">
        <f aca="false">IF(CALCULO!F94="","",CALCULO!F94)</f>
        <v/>
      </c>
      <c r="E94" s="40" t="str">
        <f aca="false">IF(CALCULO!G94="","",CALCULO!G94)</f>
        <v/>
      </c>
      <c r="F94" s="41"/>
      <c r="G94" s="42" t="str">
        <f aca="false">IF(F94="","",ROUND((F94-B94)/B94,4))</f>
        <v/>
      </c>
      <c r="H94" s="42" t="str">
        <f aca="false">IF(F94="","",1-IMPOSTOS-CALCULO!B94/F94)</f>
        <v/>
      </c>
      <c r="I94" s="42" t="str">
        <f aca="false">IF(F94="","",H94-CALCULO!C94)</f>
        <v/>
      </c>
      <c r="J94" s="40" t="str">
        <f aca="false">IF(F94="","",ROUND(CALCULO!B94/(1-IMPOSTOS-H94-TAXA_3X),2))</f>
        <v/>
      </c>
      <c r="K94" s="40" t="str">
        <f aca="false">IF(F94="","",ROUND(CALCULO!B94/(1-IMPOSTOS-H94-TAXA_6X),2))</f>
        <v/>
      </c>
      <c r="L94" s="40" t="str">
        <f aca="false">IF(F94="","",ROUND(CALCULO!B94/(1-IMPOSTOS-H94-TAXA_10X),2))</f>
        <v/>
      </c>
    </row>
    <row r="95" customFormat="false" ht="15" hidden="false" customHeight="true" outlineLevel="0" collapsed="false">
      <c r="A95" s="8" t="n">
        <f aca="false">CALCULO!A95</f>
        <v>0</v>
      </c>
      <c r="B95" s="40" t="str">
        <f aca="false">IF(CALCULO!D95="","",CALCULO!D95)</f>
        <v/>
      </c>
      <c r="C95" s="40" t="str">
        <f aca="false">IF(CALCULO!E95="","",CALCULO!E95)</f>
        <v/>
      </c>
      <c r="D95" s="40" t="str">
        <f aca="false">IF(CALCULO!F95="","",CALCULO!F95)</f>
        <v/>
      </c>
      <c r="E95" s="40" t="str">
        <f aca="false">IF(CALCULO!G95="","",CALCULO!G95)</f>
        <v/>
      </c>
      <c r="F95" s="41"/>
      <c r="G95" s="42" t="str">
        <f aca="false">IF(F95="","",ROUND((F95-B95)/B95,4))</f>
        <v/>
      </c>
      <c r="H95" s="42" t="str">
        <f aca="false">IF(F95="","",1-IMPOSTOS-CALCULO!B95/F95)</f>
        <v/>
      </c>
      <c r="I95" s="42" t="str">
        <f aca="false">IF(F95="","",H95-CALCULO!C95)</f>
        <v/>
      </c>
      <c r="J95" s="40" t="str">
        <f aca="false">IF(F95="","",ROUND(CALCULO!B95/(1-IMPOSTOS-H95-TAXA_3X),2))</f>
        <v/>
      </c>
      <c r="K95" s="40" t="str">
        <f aca="false">IF(F95="","",ROUND(CALCULO!B95/(1-IMPOSTOS-H95-TAXA_6X),2))</f>
        <v/>
      </c>
      <c r="L95" s="40" t="str">
        <f aca="false">IF(F95="","",ROUND(CALCULO!B95/(1-IMPOSTOS-H95-TAXA_10X),2))</f>
        <v/>
      </c>
    </row>
    <row r="96" customFormat="false" ht="15" hidden="false" customHeight="true" outlineLevel="0" collapsed="false">
      <c r="A96" s="8" t="n">
        <f aca="false">CALCULO!A96</f>
        <v>0</v>
      </c>
      <c r="B96" s="40" t="str">
        <f aca="false">IF(CALCULO!D96="","",CALCULO!D96)</f>
        <v/>
      </c>
      <c r="C96" s="40" t="str">
        <f aca="false">IF(CALCULO!E96="","",CALCULO!E96)</f>
        <v/>
      </c>
      <c r="D96" s="40" t="str">
        <f aca="false">IF(CALCULO!F96="","",CALCULO!F96)</f>
        <v/>
      </c>
      <c r="E96" s="40" t="str">
        <f aca="false">IF(CALCULO!G96="","",CALCULO!G96)</f>
        <v/>
      </c>
      <c r="F96" s="41"/>
      <c r="G96" s="42" t="str">
        <f aca="false">IF(F96="","",ROUND((F96-B96)/B96,4))</f>
        <v/>
      </c>
      <c r="H96" s="42" t="str">
        <f aca="false">IF(F96="","",1-IMPOSTOS-CALCULO!B96/F96)</f>
        <v/>
      </c>
      <c r="I96" s="42" t="str">
        <f aca="false">IF(F96="","",H96-CALCULO!C96)</f>
        <v/>
      </c>
      <c r="J96" s="40" t="str">
        <f aca="false">IF(F96="","",ROUND(CALCULO!B96/(1-IMPOSTOS-H96-TAXA_3X),2))</f>
        <v/>
      </c>
      <c r="K96" s="40" t="str">
        <f aca="false">IF(F96="","",ROUND(CALCULO!B96/(1-IMPOSTOS-H96-TAXA_6X),2))</f>
        <v/>
      </c>
      <c r="L96" s="40" t="str">
        <f aca="false">IF(F96="","",ROUND(CALCULO!B96/(1-IMPOSTOS-H96-TAXA_10X),2))</f>
        <v/>
      </c>
    </row>
    <row r="97" customFormat="false" ht="15" hidden="false" customHeight="true" outlineLevel="0" collapsed="false">
      <c r="A97" s="8" t="n">
        <f aca="false">CALCULO!A97</f>
        <v>0</v>
      </c>
      <c r="B97" s="40" t="str">
        <f aca="false">IF(CALCULO!D97="","",CALCULO!D97)</f>
        <v/>
      </c>
      <c r="C97" s="40" t="str">
        <f aca="false">IF(CALCULO!E97="","",CALCULO!E97)</f>
        <v/>
      </c>
      <c r="D97" s="40" t="str">
        <f aca="false">IF(CALCULO!F97="","",CALCULO!F97)</f>
        <v/>
      </c>
      <c r="E97" s="40" t="str">
        <f aca="false">IF(CALCULO!G97="","",CALCULO!G97)</f>
        <v/>
      </c>
      <c r="F97" s="41"/>
      <c r="G97" s="42" t="str">
        <f aca="false">IF(F97="","",ROUND((F97-B97)/B97,4))</f>
        <v/>
      </c>
      <c r="H97" s="42" t="str">
        <f aca="false">IF(F97="","",1-IMPOSTOS-CALCULO!B97/F97)</f>
        <v/>
      </c>
      <c r="I97" s="42" t="str">
        <f aca="false">IF(F97="","",H97-CALCULO!C97)</f>
        <v/>
      </c>
      <c r="J97" s="40" t="str">
        <f aca="false">IF(F97="","",ROUND(CALCULO!B97/(1-IMPOSTOS-H97-TAXA_3X),2))</f>
        <v/>
      </c>
      <c r="K97" s="40" t="str">
        <f aca="false">IF(F97="","",ROUND(CALCULO!B97/(1-IMPOSTOS-H97-TAXA_6X),2))</f>
        <v/>
      </c>
      <c r="L97" s="40" t="str">
        <f aca="false">IF(F97="","",ROUND(CALCULO!B97/(1-IMPOSTOS-H97-TAXA_10X),2))</f>
        <v/>
      </c>
    </row>
    <row r="98" customFormat="false" ht="15" hidden="false" customHeight="true" outlineLevel="0" collapsed="false">
      <c r="A98" s="8" t="n">
        <f aca="false">CALCULO!A98</f>
        <v>0</v>
      </c>
      <c r="B98" s="40" t="str">
        <f aca="false">IF(CALCULO!D98="","",CALCULO!D98)</f>
        <v/>
      </c>
      <c r="C98" s="40" t="str">
        <f aca="false">IF(CALCULO!E98="","",CALCULO!E98)</f>
        <v/>
      </c>
      <c r="D98" s="40" t="str">
        <f aca="false">IF(CALCULO!F98="","",CALCULO!F98)</f>
        <v/>
      </c>
      <c r="E98" s="40" t="str">
        <f aca="false">IF(CALCULO!G98="","",CALCULO!G98)</f>
        <v/>
      </c>
      <c r="F98" s="41"/>
      <c r="G98" s="42" t="str">
        <f aca="false">IF(F98="","",ROUND((F98-B98)/B98,4))</f>
        <v/>
      </c>
      <c r="H98" s="42" t="str">
        <f aca="false">IF(F98="","",1-IMPOSTOS-CALCULO!B98/F98)</f>
        <v/>
      </c>
      <c r="I98" s="42" t="str">
        <f aca="false">IF(F98="","",H98-CALCULO!C98)</f>
        <v/>
      </c>
      <c r="J98" s="40" t="str">
        <f aca="false">IF(F98="","",ROUND(CALCULO!B98/(1-IMPOSTOS-H98-TAXA_3X),2))</f>
        <v/>
      </c>
      <c r="K98" s="40" t="str">
        <f aca="false">IF(F98="","",ROUND(CALCULO!B98/(1-IMPOSTOS-H98-TAXA_6X),2))</f>
        <v/>
      </c>
      <c r="L98" s="40" t="str">
        <f aca="false">IF(F98="","",ROUND(CALCULO!B98/(1-IMPOSTOS-H98-TAXA_10X),2))</f>
        <v/>
      </c>
    </row>
    <row r="99" customFormat="false" ht="15" hidden="false" customHeight="true" outlineLevel="0" collapsed="false">
      <c r="A99" s="8" t="n">
        <f aca="false">CALCULO!A99</f>
        <v>0</v>
      </c>
      <c r="B99" s="40" t="str">
        <f aca="false">IF(CALCULO!D99="","",CALCULO!D99)</f>
        <v/>
      </c>
      <c r="C99" s="40" t="str">
        <f aca="false">IF(CALCULO!E99="","",CALCULO!E99)</f>
        <v/>
      </c>
      <c r="D99" s="40" t="str">
        <f aca="false">IF(CALCULO!F99="","",CALCULO!F99)</f>
        <v/>
      </c>
      <c r="E99" s="40" t="str">
        <f aca="false">IF(CALCULO!G99="","",CALCULO!G99)</f>
        <v/>
      </c>
      <c r="F99" s="41"/>
      <c r="G99" s="42" t="str">
        <f aca="false">IF(F99="","",ROUND((F99-B99)/B99,4))</f>
        <v/>
      </c>
      <c r="H99" s="42" t="str">
        <f aca="false">IF(F99="","",1-IMPOSTOS-CALCULO!B99/F99)</f>
        <v/>
      </c>
      <c r="I99" s="42" t="str">
        <f aca="false">IF(F99="","",H99-CALCULO!C99)</f>
        <v/>
      </c>
      <c r="J99" s="40" t="str">
        <f aca="false">IF(F99="","",ROUND(CALCULO!B99/(1-IMPOSTOS-H99-TAXA_3X),2))</f>
        <v/>
      </c>
      <c r="K99" s="40" t="str">
        <f aca="false">IF(F99="","",ROUND(CALCULO!B99/(1-IMPOSTOS-H99-TAXA_6X),2))</f>
        <v/>
      </c>
      <c r="L99" s="40" t="str">
        <f aca="false">IF(F99="","",ROUND(CALCULO!B99/(1-IMPOSTOS-H99-TAXA_10X),2))</f>
        <v/>
      </c>
    </row>
    <row r="100" customFormat="false" ht="15" hidden="false" customHeight="true" outlineLevel="0" collapsed="false">
      <c r="A100" s="8" t="n">
        <f aca="false">CALCULO!A100</f>
        <v>0</v>
      </c>
      <c r="B100" s="40" t="str">
        <f aca="false">IF(CALCULO!D100="","",CALCULO!D100)</f>
        <v/>
      </c>
      <c r="C100" s="40" t="str">
        <f aca="false">IF(CALCULO!E100="","",CALCULO!E100)</f>
        <v/>
      </c>
      <c r="D100" s="40" t="str">
        <f aca="false">IF(CALCULO!F100="","",CALCULO!F100)</f>
        <v/>
      </c>
      <c r="E100" s="40" t="str">
        <f aca="false">IF(CALCULO!G100="","",CALCULO!G100)</f>
        <v/>
      </c>
      <c r="F100" s="41"/>
      <c r="G100" s="42" t="str">
        <f aca="false">IF(F100="","",ROUND((F100-B100)/B100,4))</f>
        <v/>
      </c>
      <c r="H100" s="42" t="str">
        <f aca="false">IF(F100="","",1-IMPOSTOS-CALCULO!B100/F100)</f>
        <v/>
      </c>
      <c r="I100" s="42" t="str">
        <f aca="false">IF(F100="","",H100-CALCULO!C100)</f>
        <v/>
      </c>
      <c r="J100" s="40" t="str">
        <f aca="false">IF(F100="","",ROUND(CALCULO!B100/(1-IMPOSTOS-H100-TAXA_3X),2))</f>
        <v/>
      </c>
      <c r="K100" s="40" t="str">
        <f aca="false">IF(F100="","",ROUND(CALCULO!B100/(1-IMPOSTOS-H100-TAXA_6X),2))</f>
        <v/>
      </c>
      <c r="L100" s="40" t="str">
        <f aca="false">IF(F100="","",ROUND(CALCULO!B100/(1-IMPOSTOS-H100-TAXA_10X),2))</f>
        <v/>
      </c>
    </row>
    <row r="101" customFormat="false" ht="15" hidden="false" customHeight="true" outlineLevel="0" collapsed="false">
      <c r="A101" s="8" t="n">
        <f aca="false">CALCULO!A101</f>
        <v>0</v>
      </c>
      <c r="B101" s="40" t="str">
        <f aca="false">IF(CALCULO!D101="","",CALCULO!D101)</f>
        <v/>
      </c>
      <c r="C101" s="40" t="str">
        <f aca="false">IF(CALCULO!E101="","",CALCULO!E101)</f>
        <v/>
      </c>
      <c r="D101" s="40" t="str">
        <f aca="false">IF(CALCULO!F101="","",CALCULO!F101)</f>
        <v/>
      </c>
      <c r="E101" s="40" t="str">
        <f aca="false">IF(CALCULO!G101="","",CALCULO!G101)</f>
        <v/>
      </c>
      <c r="F101" s="41"/>
      <c r="G101" s="42" t="str">
        <f aca="false">IF(F101="","",ROUND((F101-B101)/B101,4))</f>
        <v/>
      </c>
      <c r="H101" s="42" t="str">
        <f aca="false">IF(F101="","",1-IMPOSTOS-CALCULO!B101/F101)</f>
        <v/>
      </c>
      <c r="I101" s="42" t="str">
        <f aca="false">IF(F101="","",H101-CALCULO!C101)</f>
        <v/>
      </c>
      <c r="J101" s="40" t="str">
        <f aca="false">IF(F101="","",ROUND(CALCULO!B101/(1-IMPOSTOS-H101-TAXA_3X),2))</f>
        <v/>
      </c>
      <c r="K101" s="40" t="str">
        <f aca="false">IF(F101="","",ROUND(CALCULO!B101/(1-IMPOSTOS-H101-TAXA_6X),2))</f>
        <v/>
      </c>
      <c r="L101" s="40" t="str">
        <f aca="false">IF(F101="","",ROUND(CALCULO!B101/(1-IMPOSTOS-H101-TAXA_10X),2))</f>
        <v/>
      </c>
    </row>
    <row r="102" customFormat="false" ht="15" hidden="false" customHeight="true" outlineLevel="0" collapsed="false">
      <c r="A102" s="8" t="n">
        <f aca="false">CALCULO!A102</f>
        <v>0</v>
      </c>
      <c r="B102" s="40" t="str">
        <f aca="false">IF(CALCULO!D102="","",CALCULO!D102)</f>
        <v/>
      </c>
      <c r="C102" s="40" t="str">
        <f aca="false">IF(CALCULO!E102="","",CALCULO!E102)</f>
        <v/>
      </c>
      <c r="D102" s="40" t="str">
        <f aca="false">IF(CALCULO!F102="","",CALCULO!F102)</f>
        <v/>
      </c>
      <c r="E102" s="40" t="str">
        <f aca="false">IF(CALCULO!G102="","",CALCULO!G102)</f>
        <v/>
      </c>
      <c r="F102" s="41"/>
      <c r="G102" s="42" t="str">
        <f aca="false">IF(F102="","",ROUND((F102-B102)/B102,4))</f>
        <v/>
      </c>
      <c r="H102" s="42" t="str">
        <f aca="false">IF(F102="","",1-IMPOSTOS-CALCULO!B102/F102)</f>
        <v/>
      </c>
      <c r="I102" s="42" t="str">
        <f aca="false">IF(F102="","",H102-CALCULO!C102)</f>
        <v/>
      </c>
      <c r="J102" s="40" t="str">
        <f aca="false">IF(F102="","",ROUND(CALCULO!B102/(1-IMPOSTOS-H102-TAXA_3X),2))</f>
        <v/>
      </c>
      <c r="K102" s="40" t="str">
        <f aca="false">IF(F102="","",ROUND(CALCULO!B102/(1-IMPOSTOS-H102-TAXA_6X),2))</f>
        <v/>
      </c>
      <c r="L102" s="40" t="str">
        <f aca="false">IF(F102="","",ROUND(CALCULO!B102/(1-IMPOSTOS-H102-TAXA_10X),2))</f>
        <v/>
      </c>
    </row>
    <row r="103" customFormat="false" ht="15" hidden="false" customHeight="true" outlineLevel="0" collapsed="false">
      <c r="A103" s="8" t="n">
        <f aca="false">CALCULO!A103</f>
        <v>0</v>
      </c>
      <c r="B103" s="40" t="str">
        <f aca="false">IF(CALCULO!D103="","",CALCULO!D103)</f>
        <v/>
      </c>
      <c r="C103" s="40" t="str">
        <f aca="false">IF(CALCULO!E103="","",CALCULO!E103)</f>
        <v/>
      </c>
      <c r="D103" s="40" t="str">
        <f aca="false">IF(CALCULO!F103="","",CALCULO!F103)</f>
        <v/>
      </c>
      <c r="E103" s="40" t="str">
        <f aca="false">IF(CALCULO!G103="","",CALCULO!G103)</f>
        <v/>
      </c>
      <c r="F103" s="41"/>
      <c r="G103" s="42" t="str">
        <f aca="false">IF(F103="","",ROUND((F103-B103)/B103,4))</f>
        <v/>
      </c>
      <c r="H103" s="42" t="str">
        <f aca="false">IF(F103="","",1-IMPOSTOS-CALCULO!B103/F103)</f>
        <v/>
      </c>
      <c r="I103" s="42" t="str">
        <f aca="false">IF(F103="","",H103-CALCULO!C103)</f>
        <v/>
      </c>
      <c r="J103" s="40" t="str">
        <f aca="false">IF(F103="","",ROUND(CALCULO!B103/(1-IMPOSTOS-H103-TAXA_3X),2))</f>
        <v/>
      </c>
      <c r="K103" s="40" t="str">
        <f aca="false">IF(F103="","",ROUND(CALCULO!B103/(1-IMPOSTOS-H103-TAXA_6X),2))</f>
        <v/>
      </c>
      <c r="L103" s="40" t="str">
        <f aca="false">IF(F103="","",ROUND(CALCULO!B103/(1-IMPOSTOS-H103-TAXA_10X),2))</f>
        <v/>
      </c>
    </row>
    <row r="104" customFormat="false" ht="15" hidden="false" customHeight="true" outlineLevel="0" collapsed="false">
      <c r="A104" s="8" t="n">
        <f aca="false">CALCULO!A104</f>
        <v>0</v>
      </c>
      <c r="B104" s="40" t="str">
        <f aca="false">IF(CALCULO!D104="","",CALCULO!D104)</f>
        <v/>
      </c>
      <c r="C104" s="40" t="str">
        <f aca="false">IF(CALCULO!E104="","",CALCULO!E104)</f>
        <v/>
      </c>
      <c r="D104" s="40" t="str">
        <f aca="false">IF(CALCULO!F104="","",CALCULO!F104)</f>
        <v/>
      </c>
      <c r="E104" s="40" t="str">
        <f aca="false">IF(CALCULO!G104="","",CALCULO!G104)</f>
        <v/>
      </c>
      <c r="F104" s="41"/>
      <c r="G104" s="42" t="str">
        <f aca="false">IF(F104="","",ROUND((F104-B104)/B104,4))</f>
        <v/>
      </c>
      <c r="H104" s="42" t="str">
        <f aca="false">IF(F104="","",1-IMPOSTOS-CALCULO!B104/F104)</f>
        <v/>
      </c>
      <c r="I104" s="42" t="str">
        <f aca="false">IF(F104="","",H104-CALCULO!C104)</f>
        <v/>
      </c>
      <c r="J104" s="40" t="str">
        <f aca="false">IF(F104="","",ROUND(CALCULO!B104/(1-IMPOSTOS-H104-TAXA_3X),2))</f>
        <v/>
      </c>
      <c r="K104" s="40" t="str">
        <f aca="false">IF(F104="","",ROUND(CALCULO!B104/(1-IMPOSTOS-H104-TAXA_6X),2))</f>
        <v/>
      </c>
      <c r="L104" s="40" t="str">
        <f aca="false">IF(F104="","",ROUND(CALCULO!B104/(1-IMPOSTOS-H104-TAXA_10X),2))</f>
        <v/>
      </c>
    </row>
    <row r="105" customFormat="false" ht="15" hidden="false" customHeight="true" outlineLevel="0" collapsed="false">
      <c r="A105" s="8" t="n">
        <f aca="false">CALCULO!A105</f>
        <v>0</v>
      </c>
      <c r="B105" s="40" t="str">
        <f aca="false">IF(CALCULO!D105="","",CALCULO!D105)</f>
        <v/>
      </c>
      <c r="C105" s="40" t="str">
        <f aca="false">IF(CALCULO!E105="","",CALCULO!E105)</f>
        <v/>
      </c>
      <c r="D105" s="40" t="str">
        <f aca="false">IF(CALCULO!F105="","",CALCULO!F105)</f>
        <v/>
      </c>
      <c r="E105" s="40" t="str">
        <f aca="false">IF(CALCULO!G105="","",CALCULO!G105)</f>
        <v/>
      </c>
      <c r="F105" s="41"/>
      <c r="G105" s="42" t="str">
        <f aca="false">IF(F105="","",ROUND((F105-B105)/B105,4))</f>
        <v/>
      </c>
      <c r="H105" s="42" t="str">
        <f aca="false">IF(F105="","",1-IMPOSTOS-CALCULO!B105/F105)</f>
        <v/>
      </c>
      <c r="I105" s="42" t="str">
        <f aca="false">IF(F105="","",H105-CALCULO!C105)</f>
        <v/>
      </c>
      <c r="J105" s="40" t="str">
        <f aca="false">IF(F105="","",ROUND(CALCULO!B105/(1-IMPOSTOS-H105-TAXA_3X),2))</f>
        <v/>
      </c>
      <c r="K105" s="40" t="str">
        <f aca="false">IF(F105="","",ROUND(CALCULO!B105/(1-IMPOSTOS-H105-TAXA_6X),2))</f>
        <v/>
      </c>
      <c r="L105" s="40" t="str">
        <f aca="false">IF(F105="","",ROUND(CALCULO!B105/(1-IMPOSTOS-H105-TAXA_10X),2))</f>
        <v/>
      </c>
    </row>
    <row r="106" customFormat="false" ht="15" hidden="false" customHeight="true" outlineLevel="0" collapsed="false">
      <c r="A106" s="8" t="n">
        <f aca="false">CALCULO!A106</f>
        <v>0</v>
      </c>
      <c r="B106" s="40" t="str">
        <f aca="false">IF(CALCULO!D106="","",CALCULO!D106)</f>
        <v/>
      </c>
      <c r="C106" s="40" t="str">
        <f aca="false">IF(CALCULO!E106="","",CALCULO!E106)</f>
        <v/>
      </c>
      <c r="D106" s="40" t="str">
        <f aca="false">IF(CALCULO!F106="","",CALCULO!F106)</f>
        <v/>
      </c>
      <c r="E106" s="40" t="str">
        <f aca="false">IF(CALCULO!G106="","",CALCULO!G106)</f>
        <v/>
      </c>
      <c r="F106" s="41"/>
      <c r="G106" s="42" t="str">
        <f aca="false">IF(F106="","",ROUND((F106-B106)/B106,4))</f>
        <v/>
      </c>
      <c r="H106" s="42" t="str">
        <f aca="false">IF(F106="","",1-IMPOSTOS-CALCULO!B106/F106)</f>
        <v/>
      </c>
      <c r="I106" s="42" t="str">
        <f aca="false">IF(F106="","",H106-CALCULO!C106)</f>
        <v/>
      </c>
      <c r="J106" s="40" t="str">
        <f aca="false">IF(F106="","",ROUND(CALCULO!B106/(1-IMPOSTOS-H106-TAXA_3X),2))</f>
        <v/>
      </c>
      <c r="K106" s="40" t="str">
        <f aca="false">IF(F106="","",ROUND(CALCULO!B106/(1-IMPOSTOS-H106-TAXA_6X),2))</f>
        <v/>
      </c>
      <c r="L106" s="40" t="str">
        <f aca="false">IF(F106="","",ROUND(CALCULO!B106/(1-IMPOSTOS-H106-TAXA_10X),2))</f>
        <v/>
      </c>
    </row>
    <row r="107" customFormat="false" ht="15" hidden="false" customHeight="true" outlineLevel="0" collapsed="false">
      <c r="A107" s="8" t="n">
        <f aca="false">CALCULO!A107</f>
        <v>0</v>
      </c>
      <c r="B107" s="40" t="str">
        <f aca="false">IF(CALCULO!D107="","",CALCULO!D107)</f>
        <v/>
      </c>
      <c r="C107" s="40" t="str">
        <f aca="false">IF(CALCULO!E107="","",CALCULO!E107)</f>
        <v/>
      </c>
      <c r="D107" s="40" t="str">
        <f aca="false">IF(CALCULO!F107="","",CALCULO!F107)</f>
        <v/>
      </c>
      <c r="E107" s="40" t="str">
        <f aca="false">IF(CALCULO!G107="","",CALCULO!G107)</f>
        <v/>
      </c>
      <c r="F107" s="41"/>
      <c r="G107" s="42" t="str">
        <f aca="false">IF(F107="","",ROUND((F107-B107)/B107,4))</f>
        <v/>
      </c>
      <c r="H107" s="42" t="str">
        <f aca="false">IF(F107="","",1-IMPOSTOS-CALCULO!B107/F107)</f>
        <v/>
      </c>
      <c r="I107" s="42" t="str">
        <f aca="false">IF(F107="","",H107-CALCULO!C107)</f>
        <v/>
      </c>
      <c r="J107" s="40" t="str">
        <f aca="false">IF(F107="","",ROUND(CALCULO!B107/(1-IMPOSTOS-H107-TAXA_3X),2))</f>
        <v/>
      </c>
      <c r="K107" s="40" t="str">
        <f aca="false">IF(F107="","",ROUND(CALCULO!B107/(1-IMPOSTOS-H107-TAXA_6X),2))</f>
        <v/>
      </c>
      <c r="L107" s="40" t="str">
        <f aca="false">IF(F107="","",ROUND(CALCULO!B107/(1-IMPOSTOS-H107-TAXA_10X),2))</f>
        <v/>
      </c>
    </row>
    <row r="108" customFormat="false" ht="15" hidden="false" customHeight="true" outlineLevel="0" collapsed="false">
      <c r="A108" s="8" t="n">
        <f aca="false">CALCULO!A108</f>
        <v>0</v>
      </c>
      <c r="B108" s="40" t="str">
        <f aca="false">IF(CALCULO!D108="","",CALCULO!D108)</f>
        <v/>
      </c>
      <c r="C108" s="40" t="str">
        <f aca="false">IF(CALCULO!E108="","",CALCULO!E108)</f>
        <v/>
      </c>
      <c r="D108" s="40" t="str">
        <f aca="false">IF(CALCULO!F108="","",CALCULO!F108)</f>
        <v/>
      </c>
      <c r="E108" s="40" t="str">
        <f aca="false">IF(CALCULO!G108="","",CALCULO!G108)</f>
        <v/>
      </c>
      <c r="F108" s="41"/>
      <c r="G108" s="42" t="str">
        <f aca="false">IF(F108="","",ROUND((F108-B108)/B108,4))</f>
        <v/>
      </c>
      <c r="H108" s="42" t="str">
        <f aca="false">IF(F108="","",1-IMPOSTOS-CALCULO!B108/F108)</f>
        <v/>
      </c>
      <c r="I108" s="42" t="str">
        <f aca="false">IF(F108="","",H108-CALCULO!C108)</f>
        <v/>
      </c>
      <c r="J108" s="40" t="str">
        <f aca="false">IF(F108="","",ROUND(CALCULO!B108/(1-IMPOSTOS-H108-TAXA_3X),2))</f>
        <v/>
      </c>
      <c r="K108" s="40" t="str">
        <f aca="false">IF(F108="","",ROUND(CALCULO!B108/(1-IMPOSTOS-H108-TAXA_6X),2))</f>
        <v/>
      </c>
      <c r="L108" s="40" t="str">
        <f aca="false">IF(F108="","",ROUND(CALCULO!B108/(1-IMPOSTOS-H108-TAXA_10X),2))</f>
        <v/>
      </c>
    </row>
    <row r="109" customFormat="false" ht="15" hidden="false" customHeight="true" outlineLevel="0" collapsed="false">
      <c r="A109" s="8" t="n">
        <f aca="false">CALCULO!A109</f>
        <v>0</v>
      </c>
      <c r="B109" s="40" t="str">
        <f aca="false">IF(CALCULO!D109="","",CALCULO!D109)</f>
        <v/>
      </c>
      <c r="C109" s="40" t="str">
        <f aca="false">IF(CALCULO!E109="","",CALCULO!E109)</f>
        <v/>
      </c>
      <c r="D109" s="40" t="str">
        <f aca="false">IF(CALCULO!F109="","",CALCULO!F109)</f>
        <v/>
      </c>
      <c r="E109" s="40" t="str">
        <f aca="false">IF(CALCULO!G109="","",CALCULO!G109)</f>
        <v/>
      </c>
      <c r="F109" s="41"/>
      <c r="G109" s="42" t="str">
        <f aca="false">IF(F109="","",ROUND((F109-B109)/B109,4))</f>
        <v/>
      </c>
      <c r="H109" s="42" t="str">
        <f aca="false">IF(F109="","",1-IMPOSTOS-CALCULO!B109/F109)</f>
        <v/>
      </c>
      <c r="I109" s="42" t="str">
        <f aca="false">IF(F109="","",H109-CALCULO!C109)</f>
        <v/>
      </c>
      <c r="J109" s="40" t="str">
        <f aca="false">IF(F109="","",ROUND(CALCULO!B109/(1-IMPOSTOS-H109-TAXA_3X),2))</f>
        <v/>
      </c>
      <c r="K109" s="40" t="str">
        <f aca="false">IF(F109="","",ROUND(CALCULO!B109/(1-IMPOSTOS-H109-TAXA_6X),2))</f>
        <v/>
      </c>
      <c r="L109" s="40" t="str">
        <f aca="false">IF(F109="","",ROUND(CALCULO!B109/(1-IMPOSTOS-H109-TAXA_10X),2))</f>
        <v/>
      </c>
    </row>
    <row r="110" customFormat="false" ht="15" hidden="false" customHeight="true" outlineLevel="0" collapsed="false">
      <c r="A110" s="8" t="n">
        <f aca="false">CALCULO!A110</f>
        <v>0</v>
      </c>
      <c r="B110" s="40" t="str">
        <f aca="false">IF(CALCULO!D110="","",CALCULO!D110)</f>
        <v/>
      </c>
      <c r="C110" s="40" t="str">
        <f aca="false">IF(CALCULO!E110="","",CALCULO!E110)</f>
        <v/>
      </c>
      <c r="D110" s="40" t="str">
        <f aca="false">IF(CALCULO!F110="","",CALCULO!F110)</f>
        <v/>
      </c>
      <c r="E110" s="40" t="str">
        <f aca="false">IF(CALCULO!G110="","",CALCULO!G110)</f>
        <v/>
      </c>
      <c r="F110" s="41"/>
      <c r="G110" s="42" t="str">
        <f aca="false">IF(F110="","",ROUND((F110-B110)/B110,4))</f>
        <v/>
      </c>
      <c r="H110" s="42" t="str">
        <f aca="false">IF(F110="","",1-IMPOSTOS-CALCULO!B110/F110)</f>
        <v/>
      </c>
      <c r="I110" s="42" t="str">
        <f aca="false">IF(F110="","",H110-CALCULO!C110)</f>
        <v/>
      </c>
      <c r="J110" s="40" t="str">
        <f aca="false">IF(F110="","",ROUND(CALCULO!B110/(1-IMPOSTOS-H110-TAXA_3X),2))</f>
        <v/>
      </c>
      <c r="K110" s="40" t="str">
        <f aca="false">IF(F110="","",ROUND(CALCULO!B110/(1-IMPOSTOS-H110-TAXA_6X),2))</f>
        <v/>
      </c>
      <c r="L110" s="40" t="str">
        <f aca="false">IF(F110="","",ROUND(CALCULO!B110/(1-IMPOSTOS-H110-TAXA_10X),2))</f>
        <v/>
      </c>
    </row>
    <row r="111" customFormat="false" ht="15" hidden="false" customHeight="true" outlineLevel="0" collapsed="false">
      <c r="A111" s="8" t="n">
        <f aca="false">CALCULO!A111</f>
        <v>0</v>
      </c>
      <c r="B111" s="40" t="str">
        <f aca="false">IF(CALCULO!D111="","",CALCULO!D111)</f>
        <v/>
      </c>
      <c r="C111" s="40" t="str">
        <f aca="false">IF(CALCULO!E111="","",CALCULO!E111)</f>
        <v/>
      </c>
      <c r="D111" s="40" t="str">
        <f aca="false">IF(CALCULO!F111="","",CALCULO!F111)</f>
        <v/>
      </c>
      <c r="E111" s="40" t="str">
        <f aca="false">IF(CALCULO!G111="","",CALCULO!G111)</f>
        <v/>
      </c>
      <c r="F111" s="41"/>
      <c r="G111" s="42" t="str">
        <f aca="false">IF(F111="","",ROUND((F111-B111)/B111,4))</f>
        <v/>
      </c>
      <c r="H111" s="42" t="str">
        <f aca="false">IF(F111="","",1-IMPOSTOS-CALCULO!B111/F111)</f>
        <v/>
      </c>
      <c r="I111" s="42" t="str">
        <f aca="false">IF(F111="","",H111-CALCULO!C111)</f>
        <v/>
      </c>
      <c r="J111" s="40" t="str">
        <f aca="false">IF(F111="","",ROUND(CALCULO!B111/(1-IMPOSTOS-H111-TAXA_3X),2))</f>
        <v/>
      </c>
      <c r="K111" s="40" t="str">
        <f aca="false">IF(F111="","",ROUND(CALCULO!B111/(1-IMPOSTOS-H111-TAXA_6X),2))</f>
        <v/>
      </c>
      <c r="L111" s="40" t="str">
        <f aca="false">IF(F111="","",ROUND(CALCULO!B111/(1-IMPOSTOS-H111-TAXA_10X),2))</f>
        <v/>
      </c>
    </row>
    <row r="112" customFormat="false" ht="15" hidden="false" customHeight="true" outlineLevel="0" collapsed="false">
      <c r="A112" s="8" t="n">
        <f aca="false">CALCULO!A112</f>
        <v>0</v>
      </c>
      <c r="B112" s="40" t="str">
        <f aca="false">IF(CALCULO!D112="","",CALCULO!D112)</f>
        <v/>
      </c>
      <c r="C112" s="40" t="str">
        <f aca="false">IF(CALCULO!E112="","",CALCULO!E112)</f>
        <v/>
      </c>
      <c r="D112" s="40" t="str">
        <f aca="false">IF(CALCULO!F112="","",CALCULO!F112)</f>
        <v/>
      </c>
      <c r="E112" s="40" t="str">
        <f aca="false">IF(CALCULO!G112="","",CALCULO!G112)</f>
        <v/>
      </c>
      <c r="F112" s="41"/>
      <c r="G112" s="42" t="str">
        <f aca="false">IF(F112="","",ROUND((F112-B112)/B112,4))</f>
        <v/>
      </c>
      <c r="H112" s="42" t="str">
        <f aca="false">IF(F112="","",1-IMPOSTOS-CALCULO!B112/F112)</f>
        <v/>
      </c>
      <c r="I112" s="42" t="str">
        <f aca="false">IF(F112="","",H112-CALCULO!C112)</f>
        <v/>
      </c>
      <c r="J112" s="40" t="str">
        <f aca="false">IF(F112="","",ROUND(CALCULO!B112/(1-IMPOSTOS-H112-TAXA_3X),2))</f>
        <v/>
      </c>
      <c r="K112" s="40" t="str">
        <f aca="false">IF(F112="","",ROUND(CALCULO!B112/(1-IMPOSTOS-H112-TAXA_6X),2))</f>
        <v/>
      </c>
      <c r="L112" s="40" t="str">
        <f aca="false">IF(F112="","",ROUND(CALCULO!B112/(1-IMPOSTOS-H112-TAXA_10X),2))</f>
        <v/>
      </c>
    </row>
    <row r="113" customFormat="false" ht="15" hidden="false" customHeight="true" outlineLevel="0" collapsed="false">
      <c r="A113" s="8" t="n">
        <f aca="false">CALCULO!A113</f>
        <v>0</v>
      </c>
      <c r="B113" s="40" t="str">
        <f aca="false">IF(CALCULO!D113="","",CALCULO!D113)</f>
        <v/>
      </c>
      <c r="C113" s="40" t="str">
        <f aca="false">IF(CALCULO!E113="","",CALCULO!E113)</f>
        <v/>
      </c>
      <c r="D113" s="40" t="str">
        <f aca="false">IF(CALCULO!F113="","",CALCULO!F113)</f>
        <v/>
      </c>
      <c r="E113" s="40" t="str">
        <f aca="false">IF(CALCULO!G113="","",CALCULO!G113)</f>
        <v/>
      </c>
      <c r="F113" s="41"/>
      <c r="G113" s="42" t="str">
        <f aca="false">IF(F113="","",ROUND((F113-B113)/B113,4))</f>
        <v/>
      </c>
      <c r="H113" s="42" t="str">
        <f aca="false">IF(F113="","",1-IMPOSTOS-CALCULO!B113/F113)</f>
        <v/>
      </c>
      <c r="I113" s="42" t="str">
        <f aca="false">IF(F113="","",H113-CALCULO!C113)</f>
        <v/>
      </c>
      <c r="J113" s="40" t="str">
        <f aca="false">IF(F113="","",ROUND(CALCULO!B113/(1-IMPOSTOS-H113-TAXA_3X),2))</f>
        <v/>
      </c>
      <c r="K113" s="40" t="str">
        <f aca="false">IF(F113="","",ROUND(CALCULO!B113/(1-IMPOSTOS-H113-TAXA_6X),2))</f>
        <v/>
      </c>
      <c r="L113" s="40" t="str">
        <f aca="false">IF(F113="","",ROUND(CALCULO!B113/(1-IMPOSTOS-H113-TAXA_10X),2))</f>
        <v/>
      </c>
    </row>
    <row r="114" customFormat="false" ht="15" hidden="false" customHeight="true" outlineLevel="0" collapsed="false">
      <c r="A114" s="8" t="n">
        <f aca="false">CALCULO!A114</f>
        <v>0</v>
      </c>
      <c r="B114" s="40" t="str">
        <f aca="false">IF(CALCULO!D114="","",CALCULO!D114)</f>
        <v/>
      </c>
      <c r="C114" s="40" t="str">
        <f aca="false">IF(CALCULO!E114="","",CALCULO!E114)</f>
        <v/>
      </c>
      <c r="D114" s="40" t="str">
        <f aca="false">IF(CALCULO!F114="","",CALCULO!F114)</f>
        <v/>
      </c>
      <c r="E114" s="40" t="str">
        <f aca="false">IF(CALCULO!G114="","",CALCULO!G114)</f>
        <v/>
      </c>
      <c r="F114" s="41"/>
      <c r="G114" s="42" t="str">
        <f aca="false">IF(F114="","",ROUND((F114-B114)/B114,4))</f>
        <v/>
      </c>
      <c r="H114" s="42" t="str">
        <f aca="false">IF(F114="","",1-IMPOSTOS-CALCULO!B114/F114)</f>
        <v/>
      </c>
      <c r="I114" s="42" t="str">
        <f aca="false">IF(F114="","",H114-CALCULO!C114)</f>
        <v/>
      </c>
      <c r="J114" s="40" t="str">
        <f aca="false">IF(F114="","",ROUND(CALCULO!B114/(1-IMPOSTOS-H114-TAXA_3X),2))</f>
        <v/>
      </c>
      <c r="K114" s="40" t="str">
        <f aca="false">IF(F114="","",ROUND(CALCULO!B114/(1-IMPOSTOS-H114-TAXA_6X),2))</f>
        <v/>
      </c>
      <c r="L114" s="40" t="str">
        <f aca="false">IF(F114="","",ROUND(CALCULO!B114/(1-IMPOSTOS-H114-TAXA_10X),2))</f>
        <v/>
      </c>
    </row>
    <row r="115" customFormat="false" ht="15" hidden="false" customHeight="true" outlineLevel="0" collapsed="false">
      <c r="A115" s="8" t="n">
        <f aca="false">CALCULO!A115</f>
        <v>0</v>
      </c>
      <c r="B115" s="40" t="str">
        <f aca="false">IF(CALCULO!D115="","",CALCULO!D115)</f>
        <v/>
      </c>
      <c r="C115" s="40" t="str">
        <f aca="false">IF(CALCULO!E115="","",CALCULO!E115)</f>
        <v/>
      </c>
      <c r="D115" s="40" t="str">
        <f aca="false">IF(CALCULO!F115="","",CALCULO!F115)</f>
        <v/>
      </c>
      <c r="E115" s="40" t="str">
        <f aca="false">IF(CALCULO!G115="","",CALCULO!G115)</f>
        <v/>
      </c>
      <c r="F115" s="41"/>
      <c r="G115" s="42" t="str">
        <f aca="false">IF(F115="","",ROUND((F115-B115)/B115,4))</f>
        <v/>
      </c>
      <c r="H115" s="42" t="str">
        <f aca="false">IF(F115="","",1-IMPOSTOS-CALCULO!B115/F115)</f>
        <v/>
      </c>
      <c r="I115" s="42" t="str">
        <f aca="false">IF(F115="","",H115-CALCULO!C115)</f>
        <v/>
      </c>
      <c r="J115" s="40" t="str">
        <f aca="false">IF(F115="","",ROUND(CALCULO!B115/(1-IMPOSTOS-H115-TAXA_3X),2))</f>
        <v/>
      </c>
      <c r="K115" s="40" t="str">
        <f aca="false">IF(F115="","",ROUND(CALCULO!B115/(1-IMPOSTOS-H115-TAXA_6X),2))</f>
        <v/>
      </c>
      <c r="L115" s="40" t="str">
        <f aca="false">IF(F115="","",ROUND(CALCULO!B115/(1-IMPOSTOS-H115-TAXA_10X),2))</f>
        <v/>
      </c>
    </row>
    <row r="116" customFormat="false" ht="15" hidden="false" customHeight="true" outlineLevel="0" collapsed="false">
      <c r="A116" s="8" t="n">
        <f aca="false">CALCULO!A116</f>
        <v>0</v>
      </c>
      <c r="B116" s="40" t="str">
        <f aca="false">IF(CALCULO!D116="","",CALCULO!D116)</f>
        <v/>
      </c>
      <c r="C116" s="40" t="str">
        <f aca="false">IF(CALCULO!E116="","",CALCULO!E116)</f>
        <v/>
      </c>
      <c r="D116" s="40" t="str">
        <f aca="false">IF(CALCULO!F116="","",CALCULO!F116)</f>
        <v/>
      </c>
      <c r="E116" s="40" t="str">
        <f aca="false">IF(CALCULO!G116="","",CALCULO!G116)</f>
        <v/>
      </c>
      <c r="F116" s="41"/>
      <c r="G116" s="42" t="str">
        <f aca="false">IF(F116="","",ROUND((F116-B116)/B116,4))</f>
        <v/>
      </c>
      <c r="H116" s="42" t="str">
        <f aca="false">IF(F116="","",1-IMPOSTOS-CALCULO!B116/F116)</f>
        <v/>
      </c>
      <c r="I116" s="42" t="str">
        <f aca="false">IF(F116="","",H116-CALCULO!C116)</f>
        <v/>
      </c>
      <c r="J116" s="40" t="str">
        <f aca="false">IF(F116="","",ROUND(CALCULO!B116/(1-IMPOSTOS-H116-TAXA_3X),2))</f>
        <v/>
      </c>
      <c r="K116" s="40" t="str">
        <f aca="false">IF(F116="","",ROUND(CALCULO!B116/(1-IMPOSTOS-H116-TAXA_6X),2))</f>
        <v/>
      </c>
      <c r="L116" s="40" t="str">
        <f aca="false">IF(F116="","",ROUND(CALCULO!B116/(1-IMPOSTOS-H116-TAXA_10X),2))</f>
        <v/>
      </c>
    </row>
    <row r="117" customFormat="false" ht="15" hidden="false" customHeight="true" outlineLevel="0" collapsed="false">
      <c r="A117" s="8" t="n">
        <f aca="false">CALCULO!A117</f>
        <v>0</v>
      </c>
      <c r="B117" s="40" t="str">
        <f aca="false">IF(CALCULO!D117="","",CALCULO!D117)</f>
        <v/>
      </c>
      <c r="C117" s="40" t="str">
        <f aca="false">IF(CALCULO!E117="","",CALCULO!E117)</f>
        <v/>
      </c>
      <c r="D117" s="40" t="str">
        <f aca="false">IF(CALCULO!F117="","",CALCULO!F117)</f>
        <v/>
      </c>
      <c r="E117" s="40" t="str">
        <f aca="false">IF(CALCULO!G117="","",CALCULO!G117)</f>
        <v/>
      </c>
      <c r="F117" s="41"/>
      <c r="G117" s="42" t="str">
        <f aca="false">IF(F117="","",ROUND((F117-B117)/B117,4))</f>
        <v/>
      </c>
      <c r="H117" s="42" t="str">
        <f aca="false">IF(F117="","",1-IMPOSTOS-CALCULO!B117/F117)</f>
        <v/>
      </c>
      <c r="I117" s="42" t="str">
        <f aca="false">IF(F117="","",H117-CALCULO!C117)</f>
        <v/>
      </c>
      <c r="J117" s="40" t="str">
        <f aca="false">IF(F117="","",ROUND(CALCULO!B117/(1-IMPOSTOS-H117-TAXA_3X),2))</f>
        <v/>
      </c>
      <c r="K117" s="40" t="str">
        <f aca="false">IF(F117="","",ROUND(CALCULO!B117/(1-IMPOSTOS-H117-TAXA_6X),2))</f>
        <v/>
      </c>
      <c r="L117" s="40" t="str">
        <f aca="false">IF(F117="","",ROUND(CALCULO!B117/(1-IMPOSTOS-H117-TAXA_10X),2))</f>
        <v/>
      </c>
    </row>
    <row r="118" customFormat="false" ht="15" hidden="false" customHeight="true" outlineLevel="0" collapsed="false">
      <c r="A118" s="8" t="n">
        <f aca="false">CALCULO!A118</f>
        <v>0</v>
      </c>
      <c r="B118" s="40" t="str">
        <f aca="false">IF(CALCULO!D118="","",CALCULO!D118)</f>
        <v/>
      </c>
      <c r="C118" s="40" t="str">
        <f aca="false">IF(CALCULO!E118="","",CALCULO!E118)</f>
        <v/>
      </c>
      <c r="D118" s="40" t="str">
        <f aca="false">IF(CALCULO!F118="","",CALCULO!F118)</f>
        <v/>
      </c>
      <c r="E118" s="40" t="str">
        <f aca="false">IF(CALCULO!G118="","",CALCULO!G118)</f>
        <v/>
      </c>
      <c r="F118" s="41"/>
      <c r="G118" s="42" t="str">
        <f aca="false">IF(F118="","",ROUND((F118-B118)/B118,4))</f>
        <v/>
      </c>
      <c r="H118" s="42" t="str">
        <f aca="false">IF(F118="","",1-IMPOSTOS-CALCULO!B118/F118)</f>
        <v/>
      </c>
      <c r="I118" s="42" t="str">
        <f aca="false">IF(F118="","",H118-CALCULO!C118)</f>
        <v/>
      </c>
      <c r="J118" s="40" t="str">
        <f aca="false">IF(F118="","",ROUND(CALCULO!B118/(1-IMPOSTOS-H118-TAXA_3X),2))</f>
        <v/>
      </c>
      <c r="K118" s="40" t="str">
        <f aca="false">IF(F118="","",ROUND(CALCULO!B118/(1-IMPOSTOS-H118-TAXA_6X),2))</f>
        <v/>
      </c>
      <c r="L118" s="40" t="str">
        <f aca="false">IF(F118="","",ROUND(CALCULO!B118/(1-IMPOSTOS-H118-TAXA_10X),2))</f>
        <v/>
      </c>
    </row>
    <row r="119" customFormat="false" ht="15" hidden="false" customHeight="true" outlineLevel="0" collapsed="false">
      <c r="A119" s="8" t="n">
        <f aca="false">CALCULO!A119</f>
        <v>0</v>
      </c>
      <c r="B119" s="40" t="str">
        <f aca="false">IF(CALCULO!D119="","",CALCULO!D119)</f>
        <v/>
      </c>
      <c r="C119" s="40" t="str">
        <f aca="false">IF(CALCULO!E119="","",CALCULO!E119)</f>
        <v/>
      </c>
      <c r="D119" s="40" t="str">
        <f aca="false">IF(CALCULO!F119="","",CALCULO!F119)</f>
        <v/>
      </c>
      <c r="E119" s="40" t="str">
        <f aca="false">IF(CALCULO!G119="","",CALCULO!G119)</f>
        <v/>
      </c>
      <c r="F119" s="41"/>
      <c r="G119" s="42" t="str">
        <f aca="false">IF(F119="","",ROUND((F119-B119)/B119,4))</f>
        <v/>
      </c>
      <c r="H119" s="42" t="str">
        <f aca="false">IF(F119="","",1-IMPOSTOS-CALCULO!B119/F119)</f>
        <v/>
      </c>
      <c r="I119" s="42" t="str">
        <f aca="false">IF(F119="","",H119-CALCULO!C119)</f>
        <v/>
      </c>
      <c r="J119" s="40" t="str">
        <f aca="false">IF(F119="","",ROUND(CALCULO!B119/(1-IMPOSTOS-H119-TAXA_3X),2))</f>
        <v/>
      </c>
      <c r="K119" s="40" t="str">
        <f aca="false">IF(F119="","",ROUND(CALCULO!B119/(1-IMPOSTOS-H119-TAXA_6X),2))</f>
        <v/>
      </c>
      <c r="L119" s="40" t="str">
        <f aca="false">IF(F119="","",ROUND(CALCULO!B119/(1-IMPOSTOS-H119-TAXA_10X),2))</f>
        <v/>
      </c>
    </row>
    <row r="120" customFormat="false" ht="15" hidden="false" customHeight="true" outlineLevel="0" collapsed="false">
      <c r="A120" s="8" t="n">
        <f aca="false">CALCULO!A120</f>
        <v>0</v>
      </c>
      <c r="B120" s="40" t="str">
        <f aca="false">IF(CALCULO!D120="","",CALCULO!D120)</f>
        <v/>
      </c>
      <c r="C120" s="40" t="str">
        <f aca="false">IF(CALCULO!E120="","",CALCULO!E120)</f>
        <v/>
      </c>
      <c r="D120" s="40" t="str">
        <f aca="false">IF(CALCULO!F120="","",CALCULO!F120)</f>
        <v/>
      </c>
      <c r="E120" s="40" t="str">
        <f aca="false">IF(CALCULO!G120="","",CALCULO!G120)</f>
        <v/>
      </c>
      <c r="F120" s="41"/>
      <c r="G120" s="42" t="str">
        <f aca="false">IF(F120="","",ROUND((F120-B120)/B120,4))</f>
        <v/>
      </c>
      <c r="H120" s="42" t="str">
        <f aca="false">IF(F120="","",1-IMPOSTOS-CALCULO!B120/F120)</f>
        <v/>
      </c>
      <c r="I120" s="42" t="str">
        <f aca="false">IF(F120="","",H120-CALCULO!C120)</f>
        <v/>
      </c>
      <c r="J120" s="40" t="str">
        <f aca="false">IF(F120="","",ROUND(CALCULO!B120/(1-IMPOSTOS-H120-TAXA_3X),2))</f>
        <v/>
      </c>
      <c r="K120" s="40" t="str">
        <f aca="false">IF(F120="","",ROUND(CALCULO!B120/(1-IMPOSTOS-H120-TAXA_6X),2))</f>
        <v/>
      </c>
      <c r="L120" s="40" t="str">
        <f aca="false">IF(F120="","",ROUND(CALCULO!B120/(1-IMPOSTOS-H120-TAXA_10X),2))</f>
        <v/>
      </c>
    </row>
    <row r="121" customFormat="false" ht="15" hidden="false" customHeight="true" outlineLevel="0" collapsed="false">
      <c r="A121" s="8" t="n">
        <f aca="false">CALCULO!A121</f>
        <v>0</v>
      </c>
      <c r="B121" s="40" t="str">
        <f aca="false">IF(CALCULO!D121="","",CALCULO!D121)</f>
        <v/>
      </c>
      <c r="C121" s="40" t="str">
        <f aca="false">IF(CALCULO!E121="","",CALCULO!E121)</f>
        <v/>
      </c>
      <c r="D121" s="40" t="str">
        <f aca="false">IF(CALCULO!F121="","",CALCULO!F121)</f>
        <v/>
      </c>
      <c r="E121" s="40" t="str">
        <f aca="false">IF(CALCULO!G121="","",CALCULO!G121)</f>
        <v/>
      </c>
      <c r="F121" s="41"/>
      <c r="G121" s="42" t="str">
        <f aca="false">IF(F121="","",ROUND((F121-B121)/B121,4))</f>
        <v/>
      </c>
      <c r="H121" s="42" t="str">
        <f aca="false">IF(F121="","",1-IMPOSTOS-CALCULO!B121/F121)</f>
        <v/>
      </c>
      <c r="I121" s="42" t="str">
        <f aca="false">IF(F121="","",H121-CALCULO!C121)</f>
        <v/>
      </c>
      <c r="J121" s="40" t="str">
        <f aca="false">IF(F121="","",ROUND(CALCULO!B121/(1-IMPOSTOS-H121-TAXA_3X),2))</f>
        <v/>
      </c>
      <c r="K121" s="40" t="str">
        <f aca="false">IF(F121="","",ROUND(CALCULO!B121/(1-IMPOSTOS-H121-TAXA_6X),2))</f>
        <v/>
      </c>
      <c r="L121" s="40" t="str">
        <f aca="false">IF(F121="","",ROUND(CALCULO!B121/(1-IMPOSTOS-H121-TAXA_10X),2))</f>
        <v/>
      </c>
    </row>
    <row r="122" customFormat="false" ht="15" hidden="false" customHeight="true" outlineLevel="0" collapsed="false">
      <c r="A122" s="8" t="n">
        <f aca="false">CALCULO!A122</f>
        <v>0</v>
      </c>
      <c r="B122" s="40" t="str">
        <f aca="false">IF(CALCULO!D122="","",CALCULO!D122)</f>
        <v/>
      </c>
      <c r="C122" s="40" t="str">
        <f aca="false">IF(CALCULO!E122="","",CALCULO!E122)</f>
        <v/>
      </c>
      <c r="D122" s="40" t="str">
        <f aca="false">IF(CALCULO!F122="","",CALCULO!F122)</f>
        <v/>
      </c>
      <c r="E122" s="40" t="str">
        <f aca="false">IF(CALCULO!G122="","",CALCULO!G122)</f>
        <v/>
      </c>
      <c r="F122" s="41"/>
      <c r="G122" s="42" t="str">
        <f aca="false">IF(F122="","",ROUND((F122-B122)/B122,4))</f>
        <v/>
      </c>
      <c r="H122" s="42" t="str">
        <f aca="false">IF(F122="","",1-IMPOSTOS-CALCULO!B122/F122)</f>
        <v/>
      </c>
      <c r="I122" s="42" t="str">
        <f aca="false">IF(F122="","",H122-CALCULO!C122)</f>
        <v/>
      </c>
      <c r="J122" s="40" t="str">
        <f aca="false">IF(F122="","",ROUND(CALCULO!B122/(1-IMPOSTOS-H122-TAXA_3X),2))</f>
        <v/>
      </c>
      <c r="K122" s="40" t="str">
        <f aca="false">IF(F122="","",ROUND(CALCULO!B122/(1-IMPOSTOS-H122-TAXA_6X),2))</f>
        <v/>
      </c>
      <c r="L122" s="40" t="str">
        <f aca="false">IF(F122="","",ROUND(CALCULO!B122/(1-IMPOSTOS-H122-TAXA_10X),2))</f>
        <v/>
      </c>
    </row>
    <row r="123" customFormat="false" ht="15" hidden="false" customHeight="true" outlineLevel="0" collapsed="false">
      <c r="A123" s="8" t="n">
        <f aca="false">CALCULO!A123</f>
        <v>0</v>
      </c>
      <c r="B123" s="40" t="str">
        <f aca="false">IF(CALCULO!D123="","",CALCULO!D123)</f>
        <v/>
      </c>
      <c r="C123" s="40" t="str">
        <f aca="false">IF(CALCULO!E123="","",CALCULO!E123)</f>
        <v/>
      </c>
      <c r="D123" s="40" t="str">
        <f aca="false">IF(CALCULO!F123="","",CALCULO!F123)</f>
        <v/>
      </c>
      <c r="E123" s="40" t="str">
        <f aca="false">IF(CALCULO!G123="","",CALCULO!G123)</f>
        <v/>
      </c>
      <c r="F123" s="41"/>
      <c r="G123" s="42" t="str">
        <f aca="false">IF(F123="","",ROUND((F123-B123)/B123,4))</f>
        <v/>
      </c>
      <c r="H123" s="42" t="str">
        <f aca="false">IF(F123="","",1-IMPOSTOS-CALCULO!B123/F123)</f>
        <v/>
      </c>
      <c r="I123" s="42" t="str">
        <f aca="false">IF(F123="","",H123-CALCULO!C123)</f>
        <v/>
      </c>
      <c r="J123" s="40" t="str">
        <f aca="false">IF(F123="","",ROUND(CALCULO!B123/(1-IMPOSTOS-H123-TAXA_3X),2))</f>
        <v/>
      </c>
      <c r="K123" s="40" t="str">
        <f aca="false">IF(F123="","",ROUND(CALCULO!B123/(1-IMPOSTOS-H123-TAXA_6X),2))</f>
        <v/>
      </c>
      <c r="L123" s="40" t="str">
        <f aca="false">IF(F123="","",ROUND(CALCULO!B123/(1-IMPOSTOS-H123-TAXA_10X),2))</f>
        <v/>
      </c>
    </row>
    <row r="124" customFormat="false" ht="15" hidden="false" customHeight="true" outlineLevel="0" collapsed="false">
      <c r="A124" s="8" t="n">
        <f aca="false">CALCULO!A124</f>
        <v>0</v>
      </c>
      <c r="B124" s="40" t="str">
        <f aca="false">IF(CALCULO!D124="","",CALCULO!D124)</f>
        <v/>
      </c>
      <c r="C124" s="40" t="str">
        <f aca="false">IF(CALCULO!E124="","",CALCULO!E124)</f>
        <v/>
      </c>
      <c r="D124" s="40" t="str">
        <f aca="false">IF(CALCULO!F124="","",CALCULO!F124)</f>
        <v/>
      </c>
      <c r="E124" s="40" t="str">
        <f aca="false">IF(CALCULO!G124="","",CALCULO!G124)</f>
        <v/>
      </c>
      <c r="F124" s="41"/>
      <c r="G124" s="42" t="str">
        <f aca="false">IF(F124="","",ROUND((F124-B124)/B124,4))</f>
        <v/>
      </c>
      <c r="H124" s="42" t="str">
        <f aca="false">IF(F124="","",1-IMPOSTOS-CALCULO!B124/F124)</f>
        <v/>
      </c>
      <c r="I124" s="42" t="str">
        <f aca="false">IF(F124="","",H124-CALCULO!C124)</f>
        <v/>
      </c>
      <c r="J124" s="40" t="str">
        <f aca="false">IF(F124="","",ROUND(CALCULO!B124/(1-IMPOSTOS-H124-TAXA_3X),2))</f>
        <v/>
      </c>
      <c r="K124" s="40" t="str">
        <f aca="false">IF(F124="","",ROUND(CALCULO!B124/(1-IMPOSTOS-H124-TAXA_6X),2))</f>
        <v/>
      </c>
      <c r="L124" s="40" t="str">
        <f aca="false">IF(F124="","",ROUND(CALCULO!B124/(1-IMPOSTOS-H124-TAXA_10X),2))</f>
        <v/>
      </c>
    </row>
    <row r="125" customFormat="false" ht="15" hidden="false" customHeight="true" outlineLevel="0" collapsed="false">
      <c r="A125" s="8" t="n">
        <f aca="false">CALCULO!A125</f>
        <v>0</v>
      </c>
      <c r="B125" s="40" t="str">
        <f aca="false">IF(CALCULO!D125="","",CALCULO!D125)</f>
        <v/>
      </c>
      <c r="C125" s="40" t="str">
        <f aca="false">IF(CALCULO!E125="","",CALCULO!E125)</f>
        <v/>
      </c>
      <c r="D125" s="40" t="str">
        <f aca="false">IF(CALCULO!F125="","",CALCULO!F125)</f>
        <v/>
      </c>
      <c r="E125" s="40" t="str">
        <f aca="false">IF(CALCULO!G125="","",CALCULO!G125)</f>
        <v/>
      </c>
      <c r="F125" s="41"/>
      <c r="G125" s="42" t="str">
        <f aca="false">IF(F125="","",ROUND((F125-B125)/B125,4))</f>
        <v/>
      </c>
      <c r="H125" s="42" t="str">
        <f aca="false">IF(F125="","",1-IMPOSTOS-CALCULO!B125/F125)</f>
        <v/>
      </c>
      <c r="I125" s="42" t="str">
        <f aca="false">IF(F125="","",H125-CALCULO!C125)</f>
        <v/>
      </c>
      <c r="J125" s="40" t="str">
        <f aca="false">IF(F125="","",ROUND(CALCULO!B125/(1-IMPOSTOS-H125-TAXA_3X),2))</f>
        <v/>
      </c>
      <c r="K125" s="40" t="str">
        <f aca="false">IF(F125="","",ROUND(CALCULO!B125/(1-IMPOSTOS-H125-TAXA_6X),2))</f>
        <v/>
      </c>
      <c r="L125" s="40" t="str">
        <f aca="false">IF(F125="","",ROUND(CALCULO!B125/(1-IMPOSTOS-H125-TAXA_10X),2))</f>
        <v/>
      </c>
    </row>
    <row r="126" customFormat="false" ht="15" hidden="false" customHeight="true" outlineLevel="0" collapsed="false">
      <c r="A126" s="8" t="n">
        <f aca="false">CALCULO!A126</f>
        <v>0</v>
      </c>
      <c r="B126" s="40" t="str">
        <f aca="false">IF(CALCULO!D126="","",CALCULO!D126)</f>
        <v/>
      </c>
      <c r="C126" s="40" t="str">
        <f aca="false">IF(CALCULO!E126="","",CALCULO!E126)</f>
        <v/>
      </c>
      <c r="D126" s="40" t="str">
        <f aca="false">IF(CALCULO!F126="","",CALCULO!F126)</f>
        <v/>
      </c>
      <c r="E126" s="40" t="str">
        <f aca="false">IF(CALCULO!G126="","",CALCULO!G126)</f>
        <v/>
      </c>
      <c r="F126" s="41"/>
      <c r="G126" s="42" t="str">
        <f aca="false">IF(F126="","",ROUND((F126-B126)/B126,4))</f>
        <v/>
      </c>
      <c r="H126" s="42" t="str">
        <f aca="false">IF(F126="","",1-IMPOSTOS-CALCULO!B126/F126)</f>
        <v/>
      </c>
      <c r="I126" s="42" t="str">
        <f aca="false">IF(F126="","",H126-CALCULO!C126)</f>
        <v/>
      </c>
      <c r="J126" s="40" t="str">
        <f aca="false">IF(F126="","",ROUND(CALCULO!B126/(1-IMPOSTOS-H126-TAXA_3X),2))</f>
        <v/>
      </c>
      <c r="K126" s="40" t="str">
        <f aca="false">IF(F126="","",ROUND(CALCULO!B126/(1-IMPOSTOS-H126-TAXA_6X),2))</f>
        <v/>
      </c>
      <c r="L126" s="40" t="str">
        <f aca="false">IF(F126="","",ROUND(CALCULO!B126/(1-IMPOSTOS-H126-TAXA_10X),2))</f>
        <v/>
      </c>
    </row>
    <row r="127" customFormat="false" ht="15" hidden="false" customHeight="true" outlineLevel="0" collapsed="false">
      <c r="A127" s="8" t="n">
        <f aca="false">CALCULO!A127</f>
        <v>0</v>
      </c>
      <c r="B127" s="40" t="str">
        <f aca="false">IF(CALCULO!D127="","",CALCULO!D127)</f>
        <v/>
      </c>
      <c r="C127" s="40" t="str">
        <f aca="false">IF(CALCULO!E127="","",CALCULO!E127)</f>
        <v/>
      </c>
      <c r="D127" s="40" t="str">
        <f aca="false">IF(CALCULO!F127="","",CALCULO!F127)</f>
        <v/>
      </c>
      <c r="E127" s="40" t="str">
        <f aca="false">IF(CALCULO!G127="","",CALCULO!G127)</f>
        <v/>
      </c>
      <c r="F127" s="41"/>
      <c r="G127" s="42" t="str">
        <f aca="false">IF(F127="","",ROUND((F127-B127)/B127,4))</f>
        <v/>
      </c>
      <c r="H127" s="42" t="str">
        <f aca="false">IF(F127="","",1-IMPOSTOS-CALCULO!B127/F127)</f>
        <v/>
      </c>
      <c r="I127" s="42" t="str">
        <f aca="false">IF(F127="","",H127-CALCULO!C127)</f>
        <v/>
      </c>
      <c r="J127" s="40" t="str">
        <f aca="false">IF(F127="","",ROUND(CALCULO!B127/(1-IMPOSTOS-H127-TAXA_3X),2))</f>
        <v/>
      </c>
      <c r="K127" s="40" t="str">
        <f aca="false">IF(F127="","",ROUND(CALCULO!B127/(1-IMPOSTOS-H127-TAXA_6X),2))</f>
        <v/>
      </c>
      <c r="L127" s="40" t="str">
        <f aca="false">IF(F127="","",ROUND(CALCULO!B127/(1-IMPOSTOS-H127-TAXA_10X),2))</f>
        <v/>
      </c>
    </row>
    <row r="128" customFormat="false" ht="15" hidden="false" customHeight="true" outlineLevel="0" collapsed="false">
      <c r="A128" s="8" t="n">
        <f aca="false">CALCULO!A128</f>
        <v>0</v>
      </c>
      <c r="B128" s="40" t="str">
        <f aca="false">IF(CALCULO!D128="","",CALCULO!D128)</f>
        <v/>
      </c>
      <c r="C128" s="40" t="str">
        <f aca="false">IF(CALCULO!E128="","",CALCULO!E128)</f>
        <v/>
      </c>
      <c r="D128" s="40" t="str">
        <f aca="false">IF(CALCULO!F128="","",CALCULO!F128)</f>
        <v/>
      </c>
      <c r="E128" s="40" t="str">
        <f aca="false">IF(CALCULO!G128="","",CALCULO!G128)</f>
        <v/>
      </c>
      <c r="F128" s="41"/>
      <c r="G128" s="42" t="str">
        <f aca="false">IF(F128="","",ROUND((F128-B128)/B128,4))</f>
        <v/>
      </c>
      <c r="H128" s="42" t="str">
        <f aca="false">IF(F128="","",1-IMPOSTOS-CALCULO!B128/F128)</f>
        <v/>
      </c>
      <c r="I128" s="42" t="str">
        <f aca="false">IF(F128="","",H128-CALCULO!C128)</f>
        <v/>
      </c>
      <c r="J128" s="40" t="str">
        <f aca="false">IF(F128="","",ROUND(CALCULO!B128/(1-IMPOSTOS-H128-TAXA_3X),2))</f>
        <v/>
      </c>
      <c r="K128" s="40" t="str">
        <f aca="false">IF(F128="","",ROUND(CALCULO!B128/(1-IMPOSTOS-H128-TAXA_6X),2))</f>
        <v/>
      </c>
      <c r="L128" s="40" t="str">
        <f aca="false">IF(F128="","",ROUND(CALCULO!B128/(1-IMPOSTOS-H128-TAXA_10X),2))</f>
        <v/>
      </c>
    </row>
    <row r="129" customFormat="false" ht="15" hidden="false" customHeight="true" outlineLevel="0" collapsed="false">
      <c r="A129" s="8" t="n">
        <f aca="false">CALCULO!A129</f>
        <v>0</v>
      </c>
      <c r="B129" s="40" t="str">
        <f aca="false">IF(CALCULO!D129="","",CALCULO!D129)</f>
        <v/>
      </c>
      <c r="C129" s="40" t="str">
        <f aca="false">IF(CALCULO!E129="","",CALCULO!E129)</f>
        <v/>
      </c>
      <c r="D129" s="40" t="str">
        <f aca="false">IF(CALCULO!F129="","",CALCULO!F129)</f>
        <v/>
      </c>
      <c r="E129" s="40" t="str">
        <f aca="false">IF(CALCULO!G129="","",CALCULO!G129)</f>
        <v/>
      </c>
      <c r="F129" s="41"/>
      <c r="G129" s="42" t="str">
        <f aca="false">IF(F129="","",ROUND((F129-B129)/B129,4))</f>
        <v/>
      </c>
      <c r="H129" s="42" t="str">
        <f aca="false">IF(F129="","",1-IMPOSTOS-CALCULO!B129/F129)</f>
        <v/>
      </c>
      <c r="I129" s="42" t="str">
        <f aca="false">IF(F129="","",H129-CALCULO!C129)</f>
        <v/>
      </c>
      <c r="J129" s="40" t="str">
        <f aca="false">IF(F129="","",ROUND(CALCULO!B129/(1-IMPOSTOS-H129-TAXA_3X),2))</f>
        <v/>
      </c>
      <c r="K129" s="40" t="str">
        <f aca="false">IF(F129="","",ROUND(CALCULO!B129/(1-IMPOSTOS-H129-TAXA_6X),2))</f>
        <v/>
      </c>
      <c r="L129" s="40" t="str">
        <f aca="false">IF(F129="","",ROUND(CALCULO!B129/(1-IMPOSTOS-H129-TAXA_10X),2))</f>
        <v/>
      </c>
    </row>
    <row r="130" customFormat="false" ht="15" hidden="false" customHeight="true" outlineLevel="0" collapsed="false">
      <c r="A130" s="8" t="n">
        <f aca="false">CALCULO!A130</f>
        <v>0</v>
      </c>
      <c r="B130" s="40" t="str">
        <f aca="false">IF(CALCULO!D130="","",CALCULO!D130)</f>
        <v/>
      </c>
      <c r="C130" s="40" t="str">
        <f aca="false">IF(CALCULO!E130="","",CALCULO!E130)</f>
        <v/>
      </c>
      <c r="D130" s="40" t="str">
        <f aca="false">IF(CALCULO!F130="","",CALCULO!F130)</f>
        <v/>
      </c>
      <c r="E130" s="40" t="str">
        <f aca="false">IF(CALCULO!G130="","",CALCULO!G130)</f>
        <v/>
      </c>
      <c r="F130" s="41"/>
      <c r="G130" s="42" t="str">
        <f aca="false">IF(F130="","",ROUND((F130-B130)/B130,4))</f>
        <v/>
      </c>
      <c r="H130" s="42" t="str">
        <f aca="false">IF(F130="","",1-IMPOSTOS-CALCULO!B130/F130)</f>
        <v/>
      </c>
      <c r="I130" s="42" t="str">
        <f aca="false">IF(F130="","",H130-CALCULO!C130)</f>
        <v/>
      </c>
      <c r="J130" s="40" t="str">
        <f aca="false">IF(F130="","",ROUND(CALCULO!B130/(1-IMPOSTOS-H130-TAXA_3X),2))</f>
        <v/>
      </c>
      <c r="K130" s="40" t="str">
        <f aca="false">IF(F130="","",ROUND(CALCULO!B130/(1-IMPOSTOS-H130-TAXA_6X),2))</f>
        <v/>
      </c>
      <c r="L130" s="40" t="str">
        <f aca="false">IF(F130="","",ROUND(CALCULO!B130/(1-IMPOSTOS-H130-TAXA_10X),2))</f>
        <v/>
      </c>
    </row>
    <row r="131" customFormat="false" ht="15" hidden="false" customHeight="true" outlineLevel="0" collapsed="false">
      <c r="A131" s="8" t="n">
        <f aca="false">CALCULO!A131</f>
        <v>0</v>
      </c>
      <c r="B131" s="40" t="str">
        <f aca="false">IF(CALCULO!D131="","",CALCULO!D131)</f>
        <v/>
      </c>
      <c r="C131" s="40" t="str">
        <f aca="false">IF(CALCULO!E131="","",CALCULO!E131)</f>
        <v/>
      </c>
      <c r="D131" s="40" t="str">
        <f aca="false">IF(CALCULO!F131="","",CALCULO!F131)</f>
        <v/>
      </c>
      <c r="E131" s="40" t="str">
        <f aca="false">IF(CALCULO!G131="","",CALCULO!G131)</f>
        <v/>
      </c>
      <c r="F131" s="41"/>
      <c r="G131" s="42" t="str">
        <f aca="false">IF(F131="","",ROUND((F131-B131)/B131,4))</f>
        <v/>
      </c>
      <c r="H131" s="42" t="str">
        <f aca="false">IF(F131="","",1-IMPOSTOS-CALCULO!B131/F131)</f>
        <v/>
      </c>
      <c r="I131" s="42" t="str">
        <f aca="false">IF(F131="","",H131-CALCULO!C131)</f>
        <v/>
      </c>
      <c r="J131" s="40" t="str">
        <f aca="false">IF(F131="","",ROUND(CALCULO!B131/(1-IMPOSTOS-H131-TAXA_3X),2))</f>
        <v/>
      </c>
      <c r="K131" s="40" t="str">
        <f aca="false">IF(F131="","",ROUND(CALCULO!B131/(1-IMPOSTOS-H131-TAXA_6X),2))</f>
        <v/>
      </c>
      <c r="L131" s="40" t="str">
        <f aca="false">IF(F131="","",ROUND(CALCULO!B131/(1-IMPOSTOS-H131-TAXA_10X),2))</f>
        <v/>
      </c>
    </row>
    <row r="132" customFormat="false" ht="15" hidden="false" customHeight="true" outlineLevel="0" collapsed="false">
      <c r="A132" s="8" t="n">
        <f aca="false">CALCULO!A132</f>
        <v>0</v>
      </c>
      <c r="B132" s="40" t="str">
        <f aca="false">IF(CALCULO!D132="","",CALCULO!D132)</f>
        <v/>
      </c>
      <c r="C132" s="40" t="str">
        <f aca="false">IF(CALCULO!E132="","",CALCULO!E132)</f>
        <v/>
      </c>
      <c r="D132" s="40" t="str">
        <f aca="false">IF(CALCULO!F132="","",CALCULO!F132)</f>
        <v/>
      </c>
      <c r="E132" s="40" t="str">
        <f aca="false">IF(CALCULO!G132="","",CALCULO!G132)</f>
        <v/>
      </c>
      <c r="F132" s="41"/>
      <c r="G132" s="42" t="str">
        <f aca="false">IF(F132="","",ROUND((F132-B132)/B132,4))</f>
        <v/>
      </c>
      <c r="H132" s="42" t="str">
        <f aca="false">IF(F132="","",1-IMPOSTOS-CALCULO!B132/F132)</f>
        <v/>
      </c>
      <c r="I132" s="42" t="str">
        <f aca="false">IF(F132="","",H132-CALCULO!C132)</f>
        <v/>
      </c>
      <c r="J132" s="40" t="str">
        <f aca="false">IF(F132="","",ROUND(CALCULO!B132/(1-IMPOSTOS-H132-TAXA_3X),2))</f>
        <v/>
      </c>
      <c r="K132" s="40" t="str">
        <f aca="false">IF(F132="","",ROUND(CALCULO!B132/(1-IMPOSTOS-H132-TAXA_6X),2))</f>
        <v/>
      </c>
      <c r="L132" s="40" t="str">
        <f aca="false">IF(F132="","",ROUND(CALCULO!B132/(1-IMPOSTOS-H132-TAXA_10X),2))</f>
        <v/>
      </c>
    </row>
    <row r="133" customFormat="false" ht="15" hidden="false" customHeight="true" outlineLevel="0" collapsed="false">
      <c r="A133" s="8" t="n">
        <f aca="false">CALCULO!A133</f>
        <v>0</v>
      </c>
      <c r="B133" s="40" t="str">
        <f aca="false">IF(CALCULO!D133="","",CALCULO!D133)</f>
        <v/>
      </c>
      <c r="C133" s="40" t="str">
        <f aca="false">IF(CALCULO!E133="","",CALCULO!E133)</f>
        <v/>
      </c>
      <c r="D133" s="40" t="str">
        <f aca="false">IF(CALCULO!F133="","",CALCULO!F133)</f>
        <v/>
      </c>
      <c r="E133" s="40" t="str">
        <f aca="false">IF(CALCULO!G133="","",CALCULO!G133)</f>
        <v/>
      </c>
      <c r="F133" s="41"/>
      <c r="G133" s="42" t="str">
        <f aca="false">IF(F133="","",ROUND((F133-B133)/B133,4))</f>
        <v/>
      </c>
      <c r="H133" s="42" t="str">
        <f aca="false">IF(F133="","",1-IMPOSTOS-CALCULO!B133/F133)</f>
        <v/>
      </c>
      <c r="I133" s="42" t="str">
        <f aca="false">IF(F133="","",H133-CALCULO!C133)</f>
        <v/>
      </c>
      <c r="J133" s="40" t="str">
        <f aca="false">IF(F133="","",ROUND(CALCULO!B133/(1-IMPOSTOS-H133-TAXA_3X),2))</f>
        <v/>
      </c>
      <c r="K133" s="40" t="str">
        <f aca="false">IF(F133="","",ROUND(CALCULO!B133/(1-IMPOSTOS-H133-TAXA_6X),2))</f>
        <v/>
      </c>
      <c r="L133" s="40" t="str">
        <f aca="false">IF(F133="","",ROUND(CALCULO!B133/(1-IMPOSTOS-H133-TAXA_10X),2))</f>
        <v/>
      </c>
    </row>
    <row r="134" customFormat="false" ht="15" hidden="false" customHeight="true" outlineLevel="0" collapsed="false">
      <c r="A134" s="8" t="n">
        <f aca="false">CALCULO!A134</f>
        <v>0</v>
      </c>
      <c r="B134" s="40" t="str">
        <f aca="false">IF(CALCULO!D134="","",CALCULO!D134)</f>
        <v/>
      </c>
      <c r="C134" s="40" t="str">
        <f aca="false">IF(CALCULO!E134="","",CALCULO!E134)</f>
        <v/>
      </c>
      <c r="D134" s="40" t="str">
        <f aca="false">IF(CALCULO!F134="","",CALCULO!F134)</f>
        <v/>
      </c>
      <c r="E134" s="40" t="str">
        <f aca="false">IF(CALCULO!G134="","",CALCULO!G134)</f>
        <v/>
      </c>
      <c r="F134" s="41"/>
      <c r="G134" s="42" t="str">
        <f aca="false">IF(F134="","",ROUND((F134-B134)/B134,4))</f>
        <v/>
      </c>
      <c r="H134" s="42" t="str">
        <f aca="false">IF(F134="","",1-IMPOSTOS-CALCULO!B134/F134)</f>
        <v/>
      </c>
      <c r="I134" s="42" t="str">
        <f aca="false">IF(F134="","",H134-CALCULO!C134)</f>
        <v/>
      </c>
      <c r="J134" s="40" t="str">
        <f aca="false">IF(F134="","",ROUND(CALCULO!B134/(1-IMPOSTOS-H134-TAXA_3X),2))</f>
        <v/>
      </c>
      <c r="K134" s="40" t="str">
        <f aca="false">IF(F134="","",ROUND(CALCULO!B134/(1-IMPOSTOS-H134-TAXA_6X),2))</f>
        <v/>
      </c>
      <c r="L134" s="40" t="str">
        <f aca="false">IF(F134="","",ROUND(CALCULO!B134/(1-IMPOSTOS-H134-TAXA_10X),2))</f>
        <v/>
      </c>
    </row>
    <row r="135" customFormat="false" ht="15" hidden="false" customHeight="true" outlineLevel="0" collapsed="false">
      <c r="A135" s="8" t="n">
        <f aca="false">CALCULO!A135</f>
        <v>0</v>
      </c>
      <c r="B135" s="40" t="str">
        <f aca="false">IF(CALCULO!D135="","",CALCULO!D135)</f>
        <v/>
      </c>
      <c r="C135" s="40" t="str">
        <f aca="false">IF(CALCULO!E135="","",CALCULO!E135)</f>
        <v/>
      </c>
      <c r="D135" s="40" t="str">
        <f aca="false">IF(CALCULO!F135="","",CALCULO!F135)</f>
        <v/>
      </c>
      <c r="E135" s="40" t="str">
        <f aca="false">IF(CALCULO!G135="","",CALCULO!G135)</f>
        <v/>
      </c>
      <c r="F135" s="41"/>
      <c r="G135" s="42" t="str">
        <f aca="false">IF(F135="","",ROUND((F135-B135)/B135,4))</f>
        <v/>
      </c>
      <c r="H135" s="42" t="str">
        <f aca="false">IF(F135="","",1-IMPOSTOS-CALCULO!B135/F135)</f>
        <v/>
      </c>
      <c r="I135" s="42" t="str">
        <f aca="false">IF(F135="","",H135-CALCULO!C135)</f>
        <v/>
      </c>
      <c r="J135" s="40" t="str">
        <f aca="false">IF(F135="","",ROUND(CALCULO!B135/(1-IMPOSTOS-H135-TAXA_3X),2))</f>
        <v/>
      </c>
      <c r="K135" s="40" t="str">
        <f aca="false">IF(F135="","",ROUND(CALCULO!B135/(1-IMPOSTOS-H135-TAXA_6X),2))</f>
        <v/>
      </c>
      <c r="L135" s="40" t="str">
        <f aca="false">IF(F135="","",ROUND(CALCULO!B135/(1-IMPOSTOS-H135-TAXA_10X),2))</f>
        <v/>
      </c>
    </row>
    <row r="136" customFormat="false" ht="15" hidden="false" customHeight="true" outlineLevel="0" collapsed="false">
      <c r="A136" s="8" t="n">
        <f aca="false">CALCULO!A136</f>
        <v>0</v>
      </c>
      <c r="B136" s="40" t="str">
        <f aca="false">IF(CALCULO!D136="","",CALCULO!D136)</f>
        <v/>
      </c>
      <c r="C136" s="40" t="str">
        <f aca="false">IF(CALCULO!E136="","",CALCULO!E136)</f>
        <v/>
      </c>
      <c r="D136" s="40" t="str">
        <f aca="false">IF(CALCULO!F136="","",CALCULO!F136)</f>
        <v/>
      </c>
      <c r="E136" s="40" t="str">
        <f aca="false">IF(CALCULO!G136="","",CALCULO!G136)</f>
        <v/>
      </c>
      <c r="F136" s="41"/>
      <c r="G136" s="42" t="str">
        <f aca="false">IF(F136="","",ROUND((F136-B136)/B136,4))</f>
        <v/>
      </c>
      <c r="H136" s="42" t="str">
        <f aca="false">IF(F136="","",1-IMPOSTOS-CALCULO!B136/F136)</f>
        <v/>
      </c>
      <c r="I136" s="42" t="str">
        <f aca="false">IF(F136="","",H136-CALCULO!C136)</f>
        <v/>
      </c>
      <c r="J136" s="40" t="str">
        <f aca="false">IF(F136="","",ROUND(CALCULO!B136/(1-IMPOSTOS-H136-TAXA_3X),2))</f>
        <v/>
      </c>
      <c r="K136" s="40" t="str">
        <f aca="false">IF(F136="","",ROUND(CALCULO!B136/(1-IMPOSTOS-H136-TAXA_6X),2))</f>
        <v/>
      </c>
      <c r="L136" s="40" t="str">
        <f aca="false">IF(F136="","",ROUND(CALCULO!B136/(1-IMPOSTOS-H136-TAXA_10X),2))</f>
        <v/>
      </c>
    </row>
    <row r="137" customFormat="false" ht="15" hidden="false" customHeight="true" outlineLevel="0" collapsed="false">
      <c r="A137" s="8" t="n">
        <f aca="false">CALCULO!A137</f>
        <v>0</v>
      </c>
      <c r="B137" s="40" t="str">
        <f aca="false">IF(CALCULO!D137="","",CALCULO!D137)</f>
        <v/>
      </c>
      <c r="C137" s="40" t="str">
        <f aca="false">IF(CALCULO!E137="","",CALCULO!E137)</f>
        <v/>
      </c>
      <c r="D137" s="40" t="str">
        <f aca="false">IF(CALCULO!F137="","",CALCULO!F137)</f>
        <v/>
      </c>
      <c r="E137" s="40" t="str">
        <f aca="false">IF(CALCULO!G137="","",CALCULO!G137)</f>
        <v/>
      </c>
      <c r="F137" s="41"/>
      <c r="G137" s="42" t="str">
        <f aca="false">IF(F137="","",ROUND((F137-B137)/B137,4))</f>
        <v/>
      </c>
      <c r="H137" s="42" t="str">
        <f aca="false">IF(F137="","",1-IMPOSTOS-CALCULO!B137/F137)</f>
        <v/>
      </c>
      <c r="I137" s="42" t="str">
        <f aca="false">IF(F137="","",H137-CALCULO!C137)</f>
        <v/>
      </c>
      <c r="J137" s="40" t="str">
        <f aca="false">IF(F137="","",ROUND(CALCULO!B137/(1-IMPOSTOS-H137-TAXA_3X),2))</f>
        <v/>
      </c>
      <c r="K137" s="40" t="str">
        <f aca="false">IF(F137="","",ROUND(CALCULO!B137/(1-IMPOSTOS-H137-TAXA_6X),2))</f>
        <v/>
      </c>
      <c r="L137" s="40" t="str">
        <f aca="false">IF(F137="","",ROUND(CALCULO!B137/(1-IMPOSTOS-H137-TAXA_10X),2))</f>
        <v/>
      </c>
    </row>
    <row r="138" customFormat="false" ht="15" hidden="false" customHeight="true" outlineLevel="0" collapsed="false">
      <c r="A138" s="8" t="n">
        <f aca="false">CALCULO!A138</f>
        <v>0</v>
      </c>
      <c r="B138" s="40" t="str">
        <f aca="false">IF(CALCULO!D138="","",CALCULO!D138)</f>
        <v/>
      </c>
      <c r="C138" s="40" t="str">
        <f aca="false">IF(CALCULO!E138="","",CALCULO!E138)</f>
        <v/>
      </c>
      <c r="D138" s="40" t="str">
        <f aca="false">IF(CALCULO!F138="","",CALCULO!F138)</f>
        <v/>
      </c>
      <c r="E138" s="40" t="str">
        <f aca="false">IF(CALCULO!G138="","",CALCULO!G138)</f>
        <v/>
      </c>
      <c r="F138" s="41"/>
      <c r="G138" s="42" t="str">
        <f aca="false">IF(F138="","",ROUND((F138-B138)/B138,4))</f>
        <v/>
      </c>
      <c r="H138" s="42" t="str">
        <f aca="false">IF(F138="","",1-IMPOSTOS-CALCULO!B138/F138)</f>
        <v/>
      </c>
      <c r="I138" s="42" t="str">
        <f aca="false">IF(F138="","",H138-CALCULO!C138)</f>
        <v/>
      </c>
      <c r="J138" s="40" t="str">
        <f aca="false">IF(F138="","",ROUND(CALCULO!B138/(1-IMPOSTOS-H138-TAXA_3X),2))</f>
        <v/>
      </c>
      <c r="K138" s="40" t="str">
        <f aca="false">IF(F138="","",ROUND(CALCULO!B138/(1-IMPOSTOS-H138-TAXA_6X),2))</f>
        <v/>
      </c>
      <c r="L138" s="40" t="str">
        <f aca="false">IF(F138="","",ROUND(CALCULO!B138/(1-IMPOSTOS-H138-TAXA_10X),2))</f>
        <v/>
      </c>
    </row>
    <row r="139" customFormat="false" ht="15" hidden="false" customHeight="true" outlineLevel="0" collapsed="false">
      <c r="A139" s="8" t="n">
        <f aca="false">CALCULO!A139</f>
        <v>0</v>
      </c>
      <c r="B139" s="40" t="str">
        <f aca="false">IF(CALCULO!D139="","",CALCULO!D139)</f>
        <v/>
      </c>
      <c r="C139" s="40" t="str">
        <f aca="false">IF(CALCULO!E139="","",CALCULO!E139)</f>
        <v/>
      </c>
      <c r="D139" s="40" t="str">
        <f aca="false">IF(CALCULO!F139="","",CALCULO!F139)</f>
        <v/>
      </c>
      <c r="E139" s="40" t="str">
        <f aca="false">IF(CALCULO!G139="","",CALCULO!G139)</f>
        <v/>
      </c>
      <c r="F139" s="41"/>
      <c r="G139" s="42" t="str">
        <f aca="false">IF(F139="","",ROUND((F139-B139)/B139,4))</f>
        <v/>
      </c>
      <c r="H139" s="42" t="str">
        <f aca="false">IF(F139="","",1-IMPOSTOS-CALCULO!B139/F139)</f>
        <v/>
      </c>
      <c r="I139" s="42" t="str">
        <f aca="false">IF(F139="","",H139-CALCULO!C139)</f>
        <v/>
      </c>
      <c r="J139" s="40" t="str">
        <f aca="false">IF(F139="","",ROUND(CALCULO!B139/(1-IMPOSTOS-H139-TAXA_3X),2))</f>
        <v/>
      </c>
      <c r="K139" s="40" t="str">
        <f aca="false">IF(F139="","",ROUND(CALCULO!B139/(1-IMPOSTOS-H139-TAXA_6X),2))</f>
        <v/>
      </c>
      <c r="L139" s="40" t="str">
        <f aca="false">IF(F139="","",ROUND(CALCULO!B139/(1-IMPOSTOS-H139-TAXA_10X),2))</f>
        <v/>
      </c>
    </row>
    <row r="140" customFormat="false" ht="15" hidden="false" customHeight="true" outlineLevel="0" collapsed="false">
      <c r="A140" s="8" t="n">
        <f aca="false">CALCULO!A140</f>
        <v>0</v>
      </c>
      <c r="B140" s="40" t="str">
        <f aca="false">IF(CALCULO!D140="","",CALCULO!D140)</f>
        <v/>
      </c>
      <c r="C140" s="40" t="str">
        <f aca="false">IF(CALCULO!E140="","",CALCULO!E140)</f>
        <v/>
      </c>
      <c r="D140" s="40" t="str">
        <f aca="false">IF(CALCULO!F140="","",CALCULO!F140)</f>
        <v/>
      </c>
      <c r="E140" s="40" t="str">
        <f aca="false">IF(CALCULO!G140="","",CALCULO!G140)</f>
        <v/>
      </c>
      <c r="F140" s="41"/>
      <c r="G140" s="42" t="str">
        <f aca="false">IF(F140="","",ROUND((F140-B140)/B140,4))</f>
        <v/>
      </c>
      <c r="H140" s="42" t="str">
        <f aca="false">IF(F140="","",1-IMPOSTOS-CALCULO!B140/F140)</f>
        <v/>
      </c>
      <c r="I140" s="42" t="str">
        <f aca="false">IF(F140="","",H140-CALCULO!C140)</f>
        <v/>
      </c>
      <c r="J140" s="40" t="str">
        <f aca="false">IF(F140="","",ROUND(CALCULO!B140/(1-IMPOSTOS-H140-TAXA_3X),2))</f>
        <v/>
      </c>
      <c r="K140" s="40" t="str">
        <f aca="false">IF(F140="","",ROUND(CALCULO!B140/(1-IMPOSTOS-H140-TAXA_6X),2))</f>
        <v/>
      </c>
      <c r="L140" s="40" t="str">
        <f aca="false">IF(F140="","",ROUND(CALCULO!B140/(1-IMPOSTOS-H140-TAXA_10X),2))</f>
        <v/>
      </c>
    </row>
    <row r="141" customFormat="false" ht="15" hidden="false" customHeight="true" outlineLevel="0" collapsed="false">
      <c r="A141" s="8" t="n">
        <f aca="false">CALCULO!A141</f>
        <v>0</v>
      </c>
      <c r="B141" s="40" t="str">
        <f aca="false">IF(CALCULO!D141="","",CALCULO!D141)</f>
        <v/>
      </c>
      <c r="C141" s="40" t="str">
        <f aca="false">IF(CALCULO!E141="","",CALCULO!E141)</f>
        <v/>
      </c>
      <c r="D141" s="40" t="str">
        <f aca="false">IF(CALCULO!F141="","",CALCULO!F141)</f>
        <v/>
      </c>
      <c r="E141" s="40" t="str">
        <f aca="false">IF(CALCULO!G141="","",CALCULO!G141)</f>
        <v/>
      </c>
      <c r="F141" s="41"/>
      <c r="G141" s="42" t="str">
        <f aca="false">IF(F141="","",ROUND((F141-B141)/B141,4))</f>
        <v/>
      </c>
      <c r="H141" s="42" t="str">
        <f aca="false">IF(F141="","",1-IMPOSTOS-CALCULO!B141/F141)</f>
        <v/>
      </c>
      <c r="I141" s="42" t="str">
        <f aca="false">IF(F141="","",H141-CALCULO!C141)</f>
        <v/>
      </c>
      <c r="J141" s="40" t="str">
        <f aca="false">IF(F141="","",ROUND(CALCULO!B141/(1-IMPOSTOS-H141-TAXA_3X),2))</f>
        <v/>
      </c>
      <c r="K141" s="40" t="str">
        <f aca="false">IF(F141="","",ROUND(CALCULO!B141/(1-IMPOSTOS-H141-TAXA_6X),2))</f>
        <v/>
      </c>
      <c r="L141" s="40" t="str">
        <f aca="false">IF(F141="","",ROUND(CALCULO!B141/(1-IMPOSTOS-H141-TAXA_10X),2))</f>
        <v/>
      </c>
    </row>
    <row r="142" customFormat="false" ht="15" hidden="false" customHeight="true" outlineLevel="0" collapsed="false">
      <c r="A142" s="8" t="n">
        <f aca="false">CALCULO!A142</f>
        <v>0</v>
      </c>
      <c r="B142" s="40" t="str">
        <f aca="false">IF(CALCULO!D142="","",CALCULO!D142)</f>
        <v/>
      </c>
      <c r="C142" s="40" t="str">
        <f aca="false">IF(CALCULO!E142="","",CALCULO!E142)</f>
        <v/>
      </c>
      <c r="D142" s="40" t="str">
        <f aca="false">IF(CALCULO!F142="","",CALCULO!F142)</f>
        <v/>
      </c>
      <c r="E142" s="40" t="str">
        <f aca="false">IF(CALCULO!G142="","",CALCULO!G142)</f>
        <v/>
      </c>
      <c r="F142" s="41"/>
      <c r="G142" s="42" t="str">
        <f aca="false">IF(F142="","",ROUND((F142-B142)/B142,4))</f>
        <v/>
      </c>
      <c r="H142" s="42" t="str">
        <f aca="false">IF(F142="","",1-IMPOSTOS-CALCULO!B142/F142)</f>
        <v/>
      </c>
      <c r="I142" s="42" t="str">
        <f aca="false">IF(F142="","",H142-CALCULO!C142)</f>
        <v/>
      </c>
      <c r="J142" s="40" t="str">
        <f aca="false">IF(F142="","",ROUND(CALCULO!B142/(1-IMPOSTOS-H142-TAXA_3X),2))</f>
        <v/>
      </c>
      <c r="K142" s="40" t="str">
        <f aca="false">IF(F142="","",ROUND(CALCULO!B142/(1-IMPOSTOS-H142-TAXA_6X),2))</f>
        <v/>
      </c>
      <c r="L142" s="40" t="str">
        <f aca="false">IF(F142="","",ROUND(CALCULO!B142/(1-IMPOSTOS-H142-TAXA_10X),2))</f>
        <v/>
      </c>
    </row>
    <row r="143" customFormat="false" ht="15" hidden="false" customHeight="true" outlineLevel="0" collapsed="false">
      <c r="A143" s="8" t="n">
        <f aca="false">CALCULO!A143</f>
        <v>0</v>
      </c>
      <c r="B143" s="40" t="str">
        <f aca="false">IF(CALCULO!D143="","",CALCULO!D143)</f>
        <v/>
      </c>
      <c r="C143" s="40" t="str">
        <f aca="false">IF(CALCULO!E143="","",CALCULO!E143)</f>
        <v/>
      </c>
      <c r="D143" s="40" t="str">
        <f aca="false">IF(CALCULO!F143="","",CALCULO!F143)</f>
        <v/>
      </c>
      <c r="E143" s="40" t="str">
        <f aca="false">IF(CALCULO!G143="","",CALCULO!G143)</f>
        <v/>
      </c>
      <c r="F143" s="41"/>
      <c r="G143" s="42" t="str">
        <f aca="false">IF(F143="","",ROUND((F143-B143)/B143,4))</f>
        <v/>
      </c>
      <c r="H143" s="42" t="str">
        <f aca="false">IF(F143="","",1-IMPOSTOS-CALCULO!B143/F143)</f>
        <v/>
      </c>
      <c r="I143" s="42" t="str">
        <f aca="false">IF(F143="","",H143-CALCULO!C143)</f>
        <v/>
      </c>
      <c r="J143" s="40" t="str">
        <f aca="false">IF(F143="","",ROUND(CALCULO!B143/(1-IMPOSTOS-H143-TAXA_3X),2))</f>
        <v/>
      </c>
      <c r="K143" s="40" t="str">
        <f aca="false">IF(F143="","",ROUND(CALCULO!B143/(1-IMPOSTOS-H143-TAXA_6X),2))</f>
        <v/>
      </c>
      <c r="L143" s="40" t="str">
        <f aca="false">IF(F143="","",ROUND(CALCULO!B143/(1-IMPOSTOS-H143-TAXA_10X),2))</f>
        <v/>
      </c>
    </row>
    <row r="144" customFormat="false" ht="15" hidden="false" customHeight="true" outlineLevel="0" collapsed="false">
      <c r="A144" s="8" t="n">
        <f aca="false">CALCULO!A144</f>
        <v>0</v>
      </c>
      <c r="B144" s="40" t="str">
        <f aca="false">IF(CALCULO!D144="","",CALCULO!D144)</f>
        <v/>
      </c>
      <c r="C144" s="40" t="str">
        <f aca="false">IF(CALCULO!E144="","",CALCULO!E144)</f>
        <v/>
      </c>
      <c r="D144" s="40" t="str">
        <f aca="false">IF(CALCULO!F144="","",CALCULO!F144)</f>
        <v/>
      </c>
      <c r="E144" s="40" t="str">
        <f aca="false">IF(CALCULO!G144="","",CALCULO!G144)</f>
        <v/>
      </c>
      <c r="F144" s="41"/>
      <c r="G144" s="42" t="str">
        <f aca="false">IF(F144="","",ROUND((F144-B144)/B144,4))</f>
        <v/>
      </c>
      <c r="H144" s="42" t="str">
        <f aca="false">IF(F144="","",1-IMPOSTOS-CALCULO!B144/F144)</f>
        <v/>
      </c>
      <c r="I144" s="42" t="str">
        <f aca="false">IF(F144="","",H144-CALCULO!C144)</f>
        <v/>
      </c>
      <c r="J144" s="40" t="str">
        <f aca="false">IF(F144="","",ROUND(CALCULO!B144/(1-IMPOSTOS-H144-TAXA_3X),2))</f>
        <v/>
      </c>
      <c r="K144" s="40" t="str">
        <f aca="false">IF(F144="","",ROUND(CALCULO!B144/(1-IMPOSTOS-H144-TAXA_6X),2))</f>
        <v/>
      </c>
      <c r="L144" s="40" t="str">
        <f aca="false">IF(F144="","",ROUND(CALCULO!B144/(1-IMPOSTOS-H144-TAXA_10X),2))</f>
        <v/>
      </c>
    </row>
    <row r="145" customFormat="false" ht="15" hidden="false" customHeight="true" outlineLevel="0" collapsed="false">
      <c r="A145" s="8" t="n">
        <f aca="false">CALCULO!A145</f>
        <v>0</v>
      </c>
      <c r="B145" s="40" t="str">
        <f aca="false">IF(CALCULO!D145="","",CALCULO!D145)</f>
        <v/>
      </c>
      <c r="C145" s="40" t="str">
        <f aca="false">IF(CALCULO!E145="","",CALCULO!E145)</f>
        <v/>
      </c>
      <c r="D145" s="40" t="str">
        <f aca="false">IF(CALCULO!F145="","",CALCULO!F145)</f>
        <v/>
      </c>
      <c r="E145" s="40" t="str">
        <f aca="false">IF(CALCULO!G145="","",CALCULO!G145)</f>
        <v/>
      </c>
      <c r="F145" s="41"/>
      <c r="G145" s="42" t="str">
        <f aca="false">IF(F145="","",ROUND((F145-B145)/B145,4))</f>
        <v/>
      </c>
      <c r="H145" s="42" t="str">
        <f aca="false">IF(F145="","",1-IMPOSTOS-CALCULO!B145/F145)</f>
        <v/>
      </c>
      <c r="I145" s="42" t="str">
        <f aca="false">IF(F145="","",H145-CALCULO!C145)</f>
        <v/>
      </c>
      <c r="J145" s="40" t="str">
        <f aca="false">IF(F145="","",ROUND(CALCULO!B145/(1-IMPOSTOS-H145-TAXA_3X),2))</f>
        <v/>
      </c>
      <c r="K145" s="40" t="str">
        <f aca="false">IF(F145="","",ROUND(CALCULO!B145/(1-IMPOSTOS-H145-TAXA_6X),2))</f>
        <v/>
      </c>
      <c r="L145" s="40" t="str">
        <f aca="false">IF(F145="","",ROUND(CALCULO!B145/(1-IMPOSTOS-H145-TAXA_10X),2))</f>
        <v/>
      </c>
    </row>
    <row r="146" customFormat="false" ht="15" hidden="false" customHeight="true" outlineLevel="0" collapsed="false">
      <c r="A146" s="8" t="n">
        <f aca="false">CALCULO!A146</f>
        <v>0</v>
      </c>
      <c r="B146" s="40" t="str">
        <f aca="false">IF(CALCULO!D146="","",CALCULO!D146)</f>
        <v/>
      </c>
      <c r="C146" s="40" t="str">
        <f aca="false">IF(CALCULO!E146="","",CALCULO!E146)</f>
        <v/>
      </c>
      <c r="D146" s="40" t="str">
        <f aca="false">IF(CALCULO!F146="","",CALCULO!F146)</f>
        <v/>
      </c>
      <c r="E146" s="40" t="str">
        <f aca="false">IF(CALCULO!G146="","",CALCULO!G146)</f>
        <v/>
      </c>
      <c r="F146" s="41"/>
      <c r="G146" s="42" t="str">
        <f aca="false">IF(F146="","",ROUND((F146-B146)/B146,4))</f>
        <v/>
      </c>
      <c r="H146" s="42" t="str">
        <f aca="false">IF(F146="","",1-IMPOSTOS-CALCULO!B146/F146)</f>
        <v/>
      </c>
      <c r="I146" s="42" t="str">
        <f aca="false">IF(F146="","",H146-CALCULO!C146)</f>
        <v/>
      </c>
      <c r="J146" s="40" t="str">
        <f aca="false">IF(F146="","",ROUND(CALCULO!B146/(1-IMPOSTOS-H146-TAXA_3X),2))</f>
        <v/>
      </c>
      <c r="K146" s="40" t="str">
        <f aca="false">IF(F146="","",ROUND(CALCULO!B146/(1-IMPOSTOS-H146-TAXA_6X),2))</f>
        <v/>
      </c>
      <c r="L146" s="40" t="str">
        <f aca="false">IF(F146="","",ROUND(CALCULO!B146/(1-IMPOSTOS-H146-TAXA_10X),2))</f>
        <v/>
      </c>
    </row>
    <row r="147" customFormat="false" ht="15" hidden="false" customHeight="true" outlineLevel="0" collapsed="false">
      <c r="A147" s="8" t="n">
        <f aca="false">CALCULO!A147</f>
        <v>0</v>
      </c>
      <c r="B147" s="40" t="str">
        <f aca="false">IF(CALCULO!D147="","",CALCULO!D147)</f>
        <v/>
      </c>
      <c r="C147" s="40" t="str">
        <f aca="false">IF(CALCULO!E147="","",CALCULO!E147)</f>
        <v/>
      </c>
      <c r="D147" s="40" t="str">
        <f aca="false">IF(CALCULO!F147="","",CALCULO!F147)</f>
        <v/>
      </c>
      <c r="E147" s="40" t="str">
        <f aca="false">IF(CALCULO!G147="","",CALCULO!G147)</f>
        <v/>
      </c>
      <c r="F147" s="41"/>
      <c r="G147" s="42" t="str">
        <f aca="false">IF(F147="","",ROUND((F147-B147)/B147,4))</f>
        <v/>
      </c>
      <c r="H147" s="42" t="str">
        <f aca="false">IF(F147="","",1-IMPOSTOS-CALCULO!B147/F147)</f>
        <v/>
      </c>
      <c r="I147" s="42" t="str">
        <f aca="false">IF(F147="","",H147-CALCULO!C147)</f>
        <v/>
      </c>
      <c r="J147" s="40" t="str">
        <f aca="false">IF(F147="","",ROUND(CALCULO!B147/(1-IMPOSTOS-H147-TAXA_3X),2))</f>
        <v/>
      </c>
      <c r="K147" s="40" t="str">
        <f aca="false">IF(F147="","",ROUND(CALCULO!B147/(1-IMPOSTOS-H147-TAXA_6X),2))</f>
        <v/>
      </c>
      <c r="L147" s="40" t="str">
        <f aca="false">IF(F147="","",ROUND(CALCULO!B147/(1-IMPOSTOS-H147-TAXA_10X),2))</f>
        <v/>
      </c>
    </row>
    <row r="148" customFormat="false" ht="15" hidden="false" customHeight="true" outlineLevel="0" collapsed="false">
      <c r="A148" s="8" t="n">
        <f aca="false">CALCULO!A148</f>
        <v>0</v>
      </c>
      <c r="B148" s="40" t="str">
        <f aca="false">IF(CALCULO!D148="","",CALCULO!D148)</f>
        <v/>
      </c>
      <c r="C148" s="40" t="str">
        <f aca="false">IF(CALCULO!E148="","",CALCULO!E148)</f>
        <v/>
      </c>
      <c r="D148" s="40" t="str">
        <f aca="false">IF(CALCULO!F148="","",CALCULO!F148)</f>
        <v/>
      </c>
      <c r="E148" s="40" t="str">
        <f aca="false">IF(CALCULO!G148="","",CALCULO!G148)</f>
        <v/>
      </c>
      <c r="F148" s="41"/>
      <c r="G148" s="42" t="str">
        <f aca="false">IF(F148="","",ROUND((F148-B148)/B148,4))</f>
        <v/>
      </c>
      <c r="H148" s="42" t="str">
        <f aca="false">IF(F148="","",1-IMPOSTOS-CALCULO!B148/F148)</f>
        <v/>
      </c>
      <c r="I148" s="42" t="str">
        <f aca="false">IF(F148="","",H148-CALCULO!C148)</f>
        <v/>
      </c>
      <c r="J148" s="40" t="str">
        <f aca="false">IF(F148="","",ROUND(CALCULO!B148/(1-IMPOSTOS-H148-TAXA_3X),2))</f>
        <v/>
      </c>
      <c r="K148" s="40" t="str">
        <f aca="false">IF(F148="","",ROUND(CALCULO!B148/(1-IMPOSTOS-H148-TAXA_6X),2))</f>
        <v/>
      </c>
      <c r="L148" s="40" t="str">
        <f aca="false">IF(F148="","",ROUND(CALCULO!B148/(1-IMPOSTOS-H148-TAXA_10X),2))</f>
        <v/>
      </c>
    </row>
    <row r="149" customFormat="false" ht="15" hidden="false" customHeight="true" outlineLevel="0" collapsed="false">
      <c r="A149" s="8" t="n">
        <f aca="false">CALCULO!A149</f>
        <v>0</v>
      </c>
      <c r="B149" s="40" t="str">
        <f aca="false">IF(CALCULO!D149="","",CALCULO!D149)</f>
        <v/>
      </c>
      <c r="C149" s="40" t="str">
        <f aca="false">IF(CALCULO!E149="","",CALCULO!E149)</f>
        <v/>
      </c>
      <c r="D149" s="40" t="str">
        <f aca="false">IF(CALCULO!F149="","",CALCULO!F149)</f>
        <v/>
      </c>
      <c r="E149" s="40" t="str">
        <f aca="false">IF(CALCULO!G149="","",CALCULO!G149)</f>
        <v/>
      </c>
      <c r="F149" s="41"/>
      <c r="G149" s="42" t="str">
        <f aca="false">IF(F149="","",ROUND((F149-B149)/B149,4))</f>
        <v/>
      </c>
      <c r="H149" s="42" t="str">
        <f aca="false">IF(F149="","",1-IMPOSTOS-CALCULO!B149/F149)</f>
        <v/>
      </c>
      <c r="I149" s="42" t="str">
        <f aca="false">IF(F149="","",H149-CALCULO!C149)</f>
        <v/>
      </c>
      <c r="J149" s="40" t="str">
        <f aca="false">IF(F149="","",ROUND(CALCULO!B149/(1-IMPOSTOS-H149-TAXA_3X),2))</f>
        <v/>
      </c>
      <c r="K149" s="40" t="str">
        <f aca="false">IF(F149="","",ROUND(CALCULO!B149/(1-IMPOSTOS-H149-TAXA_6X),2))</f>
        <v/>
      </c>
      <c r="L149" s="40" t="str">
        <f aca="false">IF(F149="","",ROUND(CALCULO!B149/(1-IMPOSTOS-H149-TAXA_10X),2))</f>
        <v/>
      </c>
    </row>
    <row r="150" customFormat="false" ht="15" hidden="false" customHeight="true" outlineLevel="0" collapsed="false">
      <c r="A150" s="8" t="n">
        <f aca="false">CALCULO!A150</f>
        <v>0</v>
      </c>
      <c r="B150" s="40" t="str">
        <f aca="false">IF(CALCULO!D150="","",CALCULO!D150)</f>
        <v/>
      </c>
      <c r="C150" s="40" t="str">
        <f aca="false">IF(CALCULO!E150="","",CALCULO!E150)</f>
        <v/>
      </c>
      <c r="D150" s="40" t="str">
        <f aca="false">IF(CALCULO!F150="","",CALCULO!F150)</f>
        <v/>
      </c>
      <c r="E150" s="40" t="str">
        <f aca="false">IF(CALCULO!G150="","",CALCULO!G150)</f>
        <v/>
      </c>
      <c r="F150" s="41"/>
      <c r="G150" s="42" t="str">
        <f aca="false">IF(F150="","",ROUND((F150-B150)/B150,4))</f>
        <v/>
      </c>
      <c r="H150" s="42" t="str">
        <f aca="false">IF(F150="","",1-IMPOSTOS-CALCULO!B150/F150)</f>
        <v/>
      </c>
      <c r="I150" s="42" t="str">
        <f aca="false">IF(F150="","",H150-CALCULO!C150)</f>
        <v/>
      </c>
      <c r="J150" s="40" t="str">
        <f aca="false">IF(F150="","",ROUND(CALCULO!B150/(1-IMPOSTOS-H150-TAXA_3X),2))</f>
        <v/>
      </c>
      <c r="K150" s="40" t="str">
        <f aca="false">IF(F150="","",ROUND(CALCULO!B150/(1-IMPOSTOS-H150-TAXA_6X),2))</f>
        <v/>
      </c>
      <c r="L150" s="40" t="str">
        <f aca="false">IF(F150="","",ROUND(CALCULO!B150/(1-IMPOSTOS-H150-TAXA_10X),2))</f>
        <v/>
      </c>
    </row>
    <row r="151" customFormat="false" ht="15" hidden="false" customHeight="true" outlineLevel="0" collapsed="false">
      <c r="A151" s="8" t="n">
        <f aca="false">CALCULO!A151</f>
        <v>0</v>
      </c>
      <c r="B151" s="40" t="str">
        <f aca="false">IF(CALCULO!D151="","",CALCULO!D151)</f>
        <v/>
      </c>
      <c r="C151" s="40" t="str">
        <f aca="false">IF(CALCULO!E151="","",CALCULO!E151)</f>
        <v/>
      </c>
      <c r="D151" s="40" t="str">
        <f aca="false">IF(CALCULO!F151="","",CALCULO!F151)</f>
        <v/>
      </c>
      <c r="E151" s="40" t="str">
        <f aca="false">IF(CALCULO!G151="","",CALCULO!G151)</f>
        <v/>
      </c>
      <c r="F151" s="41"/>
      <c r="G151" s="42" t="str">
        <f aca="false">IF(F151="","",ROUND((F151-B151)/B151,4))</f>
        <v/>
      </c>
      <c r="H151" s="42" t="str">
        <f aca="false">IF(F151="","",1-IMPOSTOS-CALCULO!B151/F151)</f>
        <v/>
      </c>
      <c r="I151" s="42" t="str">
        <f aca="false">IF(F151="","",H151-CALCULO!C151)</f>
        <v/>
      </c>
      <c r="J151" s="40" t="str">
        <f aca="false">IF(F151="","",ROUND(CALCULO!B151/(1-IMPOSTOS-H151-TAXA_3X),2))</f>
        <v/>
      </c>
      <c r="K151" s="40" t="str">
        <f aca="false">IF(F151="","",ROUND(CALCULO!B151/(1-IMPOSTOS-H151-TAXA_6X),2))</f>
        <v/>
      </c>
      <c r="L151" s="40" t="str">
        <f aca="false">IF(F151="","",ROUND(CALCULO!B151/(1-IMPOSTOS-H151-TAXA_10X),2))</f>
        <v/>
      </c>
    </row>
    <row r="152" customFormat="false" ht="15" hidden="false" customHeight="true" outlineLevel="0" collapsed="false">
      <c r="A152" s="8" t="n">
        <f aca="false">CALCULO!A152</f>
        <v>0</v>
      </c>
      <c r="B152" s="40" t="str">
        <f aca="false">IF(CALCULO!D152="","",CALCULO!D152)</f>
        <v/>
      </c>
      <c r="C152" s="40" t="str">
        <f aca="false">IF(CALCULO!E152="","",CALCULO!E152)</f>
        <v/>
      </c>
      <c r="D152" s="40" t="str">
        <f aca="false">IF(CALCULO!F152="","",CALCULO!F152)</f>
        <v/>
      </c>
      <c r="E152" s="40" t="str">
        <f aca="false">IF(CALCULO!G152="","",CALCULO!G152)</f>
        <v/>
      </c>
      <c r="F152" s="41"/>
      <c r="G152" s="42" t="str">
        <f aca="false">IF(F152="","",ROUND((F152-B152)/B152,4))</f>
        <v/>
      </c>
      <c r="H152" s="42" t="str">
        <f aca="false">IF(F152="","",1-IMPOSTOS-CALCULO!B152/F152)</f>
        <v/>
      </c>
      <c r="I152" s="42" t="str">
        <f aca="false">IF(F152="","",H152-CALCULO!C152)</f>
        <v/>
      </c>
      <c r="J152" s="40" t="str">
        <f aca="false">IF(F152="","",ROUND(CALCULO!B152/(1-IMPOSTOS-H152-TAXA_3X),2))</f>
        <v/>
      </c>
      <c r="K152" s="40" t="str">
        <f aca="false">IF(F152="","",ROUND(CALCULO!B152/(1-IMPOSTOS-H152-TAXA_6X),2))</f>
        <v/>
      </c>
      <c r="L152" s="40" t="str">
        <f aca="false">IF(F152="","",ROUND(CALCULO!B152/(1-IMPOSTOS-H152-TAXA_10X),2))</f>
        <v/>
      </c>
    </row>
    <row r="153" customFormat="false" ht="15" hidden="false" customHeight="true" outlineLevel="0" collapsed="false">
      <c r="A153" s="8" t="n">
        <f aca="false">CALCULO!A153</f>
        <v>0</v>
      </c>
      <c r="B153" s="40" t="str">
        <f aca="false">IF(CALCULO!D153="","",CALCULO!D153)</f>
        <v/>
      </c>
      <c r="C153" s="40" t="str">
        <f aca="false">IF(CALCULO!E153="","",CALCULO!E153)</f>
        <v/>
      </c>
      <c r="D153" s="40" t="str">
        <f aca="false">IF(CALCULO!F153="","",CALCULO!F153)</f>
        <v/>
      </c>
      <c r="E153" s="40" t="str">
        <f aca="false">IF(CALCULO!G153="","",CALCULO!G153)</f>
        <v/>
      </c>
      <c r="F153" s="41"/>
      <c r="G153" s="42" t="str">
        <f aca="false">IF(F153="","",ROUND((F153-B153)/B153,4))</f>
        <v/>
      </c>
      <c r="H153" s="42" t="str">
        <f aca="false">IF(F153="","",1-IMPOSTOS-CALCULO!B153/F153)</f>
        <v/>
      </c>
      <c r="I153" s="42" t="str">
        <f aca="false">IF(F153="","",H153-CALCULO!C153)</f>
        <v/>
      </c>
      <c r="J153" s="40" t="str">
        <f aca="false">IF(F153="","",ROUND(CALCULO!B153/(1-IMPOSTOS-H153-TAXA_3X),2))</f>
        <v/>
      </c>
      <c r="K153" s="40" t="str">
        <f aca="false">IF(F153="","",ROUND(CALCULO!B153/(1-IMPOSTOS-H153-TAXA_6X),2))</f>
        <v/>
      </c>
      <c r="L153" s="40" t="str">
        <f aca="false">IF(F153="","",ROUND(CALCULO!B153/(1-IMPOSTOS-H153-TAXA_10X),2))</f>
        <v/>
      </c>
    </row>
    <row r="154" customFormat="false" ht="15" hidden="false" customHeight="true" outlineLevel="0" collapsed="false">
      <c r="A154" s="8" t="n">
        <f aca="false">CALCULO!A154</f>
        <v>0</v>
      </c>
      <c r="B154" s="40" t="str">
        <f aca="false">IF(CALCULO!D154="","",CALCULO!D154)</f>
        <v/>
      </c>
      <c r="C154" s="40" t="str">
        <f aca="false">IF(CALCULO!E154="","",CALCULO!E154)</f>
        <v/>
      </c>
      <c r="D154" s="40" t="str">
        <f aca="false">IF(CALCULO!F154="","",CALCULO!F154)</f>
        <v/>
      </c>
      <c r="E154" s="40" t="str">
        <f aca="false">IF(CALCULO!G154="","",CALCULO!G154)</f>
        <v/>
      </c>
      <c r="F154" s="41"/>
      <c r="G154" s="42" t="str">
        <f aca="false">IF(F154="","",ROUND((F154-B154)/B154,4))</f>
        <v/>
      </c>
      <c r="H154" s="42" t="str">
        <f aca="false">IF(F154="","",1-IMPOSTOS-CALCULO!B154/F154)</f>
        <v/>
      </c>
      <c r="I154" s="42" t="str">
        <f aca="false">IF(F154="","",H154-CALCULO!C154)</f>
        <v/>
      </c>
      <c r="J154" s="40" t="str">
        <f aca="false">IF(F154="","",ROUND(CALCULO!B154/(1-IMPOSTOS-H154-TAXA_3X),2))</f>
        <v/>
      </c>
      <c r="K154" s="40" t="str">
        <f aca="false">IF(F154="","",ROUND(CALCULO!B154/(1-IMPOSTOS-H154-TAXA_6X),2))</f>
        <v/>
      </c>
      <c r="L154" s="40" t="str">
        <f aca="false">IF(F154="","",ROUND(CALCULO!B154/(1-IMPOSTOS-H154-TAXA_10X),2))</f>
        <v/>
      </c>
    </row>
    <row r="155" customFormat="false" ht="15" hidden="false" customHeight="true" outlineLevel="0" collapsed="false">
      <c r="A155" s="8" t="n">
        <f aca="false">CALCULO!A155</f>
        <v>0</v>
      </c>
      <c r="B155" s="40" t="str">
        <f aca="false">IF(CALCULO!D155="","",CALCULO!D155)</f>
        <v/>
      </c>
      <c r="C155" s="40" t="str">
        <f aca="false">IF(CALCULO!E155="","",CALCULO!E155)</f>
        <v/>
      </c>
      <c r="D155" s="40" t="str">
        <f aca="false">IF(CALCULO!F155="","",CALCULO!F155)</f>
        <v/>
      </c>
      <c r="E155" s="40" t="str">
        <f aca="false">IF(CALCULO!G155="","",CALCULO!G155)</f>
        <v/>
      </c>
      <c r="F155" s="41"/>
      <c r="G155" s="42" t="str">
        <f aca="false">IF(F155="","",ROUND((F155-B155)/B155,4))</f>
        <v/>
      </c>
      <c r="H155" s="42" t="str">
        <f aca="false">IF(F155="","",1-IMPOSTOS-CALCULO!B155/F155)</f>
        <v/>
      </c>
      <c r="I155" s="42" t="str">
        <f aca="false">IF(F155="","",H155-CALCULO!C155)</f>
        <v/>
      </c>
      <c r="J155" s="40" t="str">
        <f aca="false">IF(F155="","",ROUND(CALCULO!B155/(1-IMPOSTOS-H155-TAXA_3X),2))</f>
        <v/>
      </c>
      <c r="K155" s="40" t="str">
        <f aca="false">IF(F155="","",ROUND(CALCULO!B155/(1-IMPOSTOS-H155-TAXA_6X),2))</f>
        <v/>
      </c>
      <c r="L155" s="40" t="str">
        <f aca="false">IF(F155="","",ROUND(CALCULO!B155/(1-IMPOSTOS-H155-TAXA_10X),2))</f>
        <v/>
      </c>
    </row>
    <row r="156" customFormat="false" ht="15" hidden="false" customHeight="true" outlineLevel="0" collapsed="false">
      <c r="A156" s="8" t="n">
        <f aca="false">CALCULO!A156</f>
        <v>0</v>
      </c>
      <c r="B156" s="40" t="str">
        <f aca="false">IF(CALCULO!D156="","",CALCULO!D156)</f>
        <v/>
      </c>
      <c r="C156" s="40" t="str">
        <f aca="false">IF(CALCULO!E156="","",CALCULO!E156)</f>
        <v/>
      </c>
      <c r="D156" s="40" t="str">
        <f aca="false">IF(CALCULO!F156="","",CALCULO!F156)</f>
        <v/>
      </c>
      <c r="E156" s="40" t="str">
        <f aca="false">IF(CALCULO!G156="","",CALCULO!G156)</f>
        <v/>
      </c>
      <c r="F156" s="41"/>
      <c r="G156" s="42" t="str">
        <f aca="false">IF(F156="","",ROUND((F156-B156)/B156,4))</f>
        <v/>
      </c>
      <c r="H156" s="42" t="str">
        <f aca="false">IF(F156="","",1-IMPOSTOS-CALCULO!B156/F156)</f>
        <v/>
      </c>
      <c r="I156" s="42" t="str">
        <f aca="false">IF(F156="","",H156-CALCULO!C156)</f>
        <v/>
      </c>
      <c r="J156" s="40" t="str">
        <f aca="false">IF(F156="","",ROUND(CALCULO!B156/(1-IMPOSTOS-H156-TAXA_3X),2))</f>
        <v/>
      </c>
      <c r="K156" s="40" t="str">
        <f aca="false">IF(F156="","",ROUND(CALCULO!B156/(1-IMPOSTOS-H156-TAXA_6X),2))</f>
        <v/>
      </c>
      <c r="L156" s="40" t="str">
        <f aca="false">IF(F156="","",ROUND(CALCULO!B156/(1-IMPOSTOS-H156-TAXA_10X),2))</f>
        <v/>
      </c>
    </row>
    <row r="157" customFormat="false" ht="15" hidden="false" customHeight="true" outlineLevel="0" collapsed="false">
      <c r="A157" s="8" t="n">
        <f aca="false">CALCULO!A157</f>
        <v>0</v>
      </c>
      <c r="B157" s="40" t="str">
        <f aca="false">IF(CALCULO!D157="","",CALCULO!D157)</f>
        <v/>
      </c>
      <c r="C157" s="40" t="str">
        <f aca="false">IF(CALCULO!E157="","",CALCULO!E157)</f>
        <v/>
      </c>
      <c r="D157" s="40" t="str">
        <f aca="false">IF(CALCULO!F157="","",CALCULO!F157)</f>
        <v/>
      </c>
      <c r="E157" s="40" t="str">
        <f aca="false">IF(CALCULO!G157="","",CALCULO!G157)</f>
        <v/>
      </c>
      <c r="F157" s="41"/>
      <c r="G157" s="42" t="str">
        <f aca="false">IF(F157="","",ROUND((F157-B157)/B157,4))</f>
        <v/>
      </c>
      <c r="H157" s="42" t="str">
        <f aca="false">IF(F157="","",1-IMPOSTOS-CALCULO!B157/F157)</f>
        <v/>
      </c>
      <c r="I157" s="42" t="str">
        <f aca="false">IF(F157="","",H157-CALCULO!C157)</f>
        <v/>
      </c>
      <c r="J157" s="40" t="str">
        <f aca="false">IF(F157="","",ROUND(CALCULO!B157/(1-IMPOSTOS-H157-TAXA_3X),2))</f>
        <v/>
      </c>
      <c r="K157" s="40" t="str">
        <f aca="false">IF(F157="","",ROUND(CALCULO!B157/(1-IMPOSTOS-H157-TAXA_6X),2))</f>
        <v/>
      </c>
      <c r="L157" s="40" t="str">
        <f aca="false">IF(F157="","",ROUND(CALCULO!B157/(1-IMPOSTOS-H157-TAXA_10X),2))</f>
        <v/>
      </c>
    </row>
    <row r="158" customFormat="false" ht="15" hidden="false" customHeight="true" outlineLevel="0" collapsed="false">
      <c r="A158" s="8" t="n">
        <f aca="false">CALCULO!A158</f>
        <v>0</v>
      </c>
      <c r="B158" s="40" t="str">
        <f aca="false">IF(CALCULO!D158="","",CALCULO!D158)</f>
        <v/>
      </c>
      <c r="C158" s="40" t="str">
        <f aca="false">IF(CALCULO!E158="","",CALCULO!E158)</f>
        <v/>
      </c>
      <c r="D158" s="40" t="str">
        <f aca="false">IF(CALCULO!F158="","",CALCULO!F158)</f>
        <v/>
      </c>
      <c r="E158" s="40" t="str">
        <f aca="false">IF(CALCULO!G158="","",CALCULO!G158)</f>
        <v/>
      </c>
      <c r="F158" s="41"/>
      <c r="G158" s="42" t="str">
        <f aca="false">IF(F158="","",ROUND((F158-B158)/B158,4))</f>
        <v/>
      </c>
      <c r="H158" s="42" t="str">
        <f aca="false">IF(F158="","",1-IMPOSTOS-CALCULO!B158/F158)</f>
        <v/>
      </c>
      <c r="I158" s="42" t="str">
        <f aca="false">IF(F158="","",H158-CALCULO!C158)</f>
        <v/>
      </c>
      <c r="J158" s="40" t="str">
        <f aca="false">IF(F158="","",ROUND(CALCULO!B158/(1-IMPOSTOS-H158-TAXA_3X),2))</f>
        <v/>
      </c>
      <c r="K158" s="40" t="str">
        <f aca="false">IF(F158="","",ROUND(CALCULO!B158/(1-IMPOSTOS-H158-TAXA_6X),2))</f>
        <v/>
      </c>
      <c r="L158" s="40" t="str">
        <f aca="false">IF(F158="","",ROUND(CALCULO!B158/(1-IMPOSTOS-H158-TAXA_10X),2))</f>
        <v/>
      </c>
    </row>
    <row r="159" customFormat="false" ht="15" hidden="false" customHeight="true" outlineLevel="0" collapsed="false">
      <c r="A159" s="8" t="n">
        <f aca="false">CALCULO!A159</f>
        <v>0</v>
      </c>
      <c r="B159" s="40" t="str">
        <f aca="false">IF(CALCULO!D159="","",CALCULO!D159)</f>
        <v/>
      </c>
      <c r="C159" s="40" t="str">
        <f aca="false">IF(CALCULO!E159="","",CALCULO!E159)</f>
        <v/>
      </c>
      <c r="D159" s="40" t="str">
        <f aca="false">IF(CALCULO!F159="","",CALCULO!F159)</f>
        <v/>
      </c>
      <c r="E159" s="40" t="str">
        <f aca="false">IF(CALCULO!G159="","",CALCULO!G159)</f>
        <v/>
      </c>
      <c r="F159" s="41"/>
      <c r="G159" s="42" t="str">
        <f aca="false">IF(F159="","",ROUND((F159-B159)/B159,4))</f>
        <v/>
      </c>
      <c r="H159" s="42" t="str">
        <f aca="false">IF(F159="","",1-IMPOSTOS-CALCULO!B159/F159)</f>
        <v/>
      </c>
      <c r="I159" s="42" t="str">
        <f aca="false">IF(F159="","",H159-CALCULO!C159)</f>
        <v/>
      </c>
      <c r="J159" s="40" t="str">
        <f aca="false">IF(F159="","",ROUND(CALCULO!B159/(1-IMPOSTOS-H159-TAXA_3X),2))</f>
        <v/>
      </c>
      <c r="K159" s="40" t="str">
        <f aca="false">IF(F159="","",ROUND(CALCULO!B159/(1-IMPOSTOS-H159-TAXA_6X),2))</f>
        <v/>
      </c>
      <c r="L159" s="40" t="str">
        <f aca="false">IF(F159="","",ROUND(CALCULO!B159/(1-IMPOSTOS-H159-TAXA_10X),2))</f>
        <v/>
      </c>
    </row>
    <row r="160" customFormat="false" ht="15" hidden="false" customHeight="true" outlineLevel="0" collapsed="false">
      <c r="A160" s="8" t="n">
        <f aca="false">CALCULO!A160</f>
        <v>0</v>
      </c>
      <c r="B160" s="40" t="str">
        <f aca="false">IF(CALCULO!D160="","",CALCULO!D160)</f>
        <v/>
      </c>
      <c r="C160" s="40" t="str">
        <f aca="false">IF(CALCULO!E160="","",CALCULO!E160)</f>
        <v/>
      </c>
      <c r="D160" s="40" t="str">
        <f aca="false">IF(CALCULO!F160="","",CALCULO!F160)</f>
        <v/>
      </c>
      <c r="E160" s="40" t="str">
        <f aca="false">IF(CALCULO!G160="","",CALCULO!G160)</f>
        <v/>
      </c>
      <c r="F160" s="41"/>
      <c r="G160" s="42" t="str">
        <f aca="false">IF(F160="","",ROUND((F160-B160)/B160,4))</f>
        <v/>
      </c>
      <c r="H160" s="42" t="str">
        <f aca="false">IF(F160="","",1-IMPOSTOS-CALCULO!B160/F160)</f>
        <v/>
      </c>
      <c r="I160" s="42" t="str">
        <f aca="false">IF(F160="","",H160-CALCULO!C160)</f>
        <v/>
      </c>
      <c r="J160" s="40" t="str">
        <f aca="false">IF(F160="","",ROUND(CALCULO!B160/(1-IMPOSTOS-H160-TAXA_3X),2))</f>
        <v/>
      </c>
      <c r="K160" s="40" t="str">
        <f aca="false">IF(F160="","",ROUND(CALCULO!B160/(1-IMPOSTOS-H160-TAXA_6X),2))</f>
        <v/>
      </c>
      <c r="L160" s="40" t="str">
        <f aca="false">IF(F160="","",ROUND(CALCULO!B160/(1-IMPOSTOS-H160-TAXA_10X),2))</f>
        <v/>
      </c>
    </row>
    <row r="161" customFormat="false" ht="15" hidden="false" customHeight="true" outlineLevel="0" collapsed="false">
      <c r="A161" s="8" t="n">
        <f aca="false">CALCULO!A161</f>
        <v>0</v>
      </c>
      <c r="B161" s="40" t="str">
        <f aca="false">IF(CALCULO!D161="","",CALCULO!D161)</f>
        <v/>
      </c>
      <c r="C161" s="40" t="str">
        <f aca="false">IF(CALCULO!E161="","",CALCULO!E161)</f>
        <v/>
      </c>
      <c r="D161" s="40" t="str">
        <f aca="false">IF(CALCULO!F161="","",CALCULO!F161)</f>
        <v/>
      </c>
      <c r="E161" s="40" t="str">
        <f aca="false">IF(CALCULO!G161="","",CALCULO!G161)</f>
        <v/>
      </c>
      <c r="F161" s="41"/>
      <c r="G161" s="42" t="str">
        <f aca="false">IF(F161="","",ROUND((F161-B161)/B161,4))</f>
        <v/>
      </c>
      <c r="H161" s="42" t="str">
        <f aca="false">IF(F161="","",1-IMPOSTOS-CALCULO!B161/F161)</f>
        <v/>
      </c>
      <c r="I161" s="42" t="str">
        <f aca="false">IF(F161="","",H161-CALCULO!C161)</f>
        <v/>
      </c>
      <c r="J161" s="40" t="str">
        <f aca="false">IF(F161="","",ROUND(CALCULO!B161/(1-IMPOSTOS-H161-TAXA_3X),2))</f>
        <v/>
      </c>
      <c r="K161" s="40" t="str">
        <f aca="false">IF(F161="","",ROUND(CALCULO!B161/(1-IMPOSTOS-H161-TAXA_6X),2))</f>
        <v/>
      </c>
      <c r="L161" s="40" t="str">
        <f aca="false">IF(F161="","",ROUND(CALCULO!B161/(1-IMPOSTOS-H161-TAXA_10X),2))</f>
        <v/>
      </c>
    </row>
    <row r="162" customFormat="false" ht="15" hidden="false" customHeight="true" outlineLevel="0" collapsed="false">
      <c r="A162" s="8" t="n">
        <f aca="false">CALCULO!A162</f>
        <v>0</v>
      </c>
      <c r="B162" s="40" t="str">
        <f aca="false">IF(CALCULO!D162="","",CALCULO!D162)</f>
        <v/>
      </c>
      <c r="C162" s="40" t="str">
        <f aca="false">IF(CALCULO!E162="","",CALCULO!E162)</f>
        <v/>
      </c>
      <c r="D162" s="40" t="str">
        <f aca="false">IF(CALCULO!F162="","",CALCULO!F162)</f>
        <v/>
      </c>
      <c r="E162" s="40" t="str">
        <f aca="false">IF(CALCULO!G162="","",CALCULO!G162)</f>
        <v/>
      </c>
      <c r="F162" s="41"/>
      <c r="G162" s="42" t="str">
        <f aca="false">IF(F162="","",ROUND((F162-B162)/B162,4))</f>
        <v/>
      </c>
      <c r="H162" s="42" t="str">
        <f aca="false">IF(F162="","",1-IMPOSTOS-CALCULO!B162/F162)</f>
        <v/>
      </c>
      <c r="I162" s="42" t="str">
        <f aca="false">IF(F162="","",H162-CALCULO!C162)</f>
        <v/>
      </c>
      <c r="J162" s="40" t="str">
        <f aca="false">IF(F162="","",ROUND(CALCULO!B162/(1-IMPOSTOS-H162-TAXA_3X),2))</f>
        <v/>
      </c>
      <c r="K162" s="40" t="str">
        <f aca="false">IF(F162="","",ROUND(CALCULO!B162/(1-IMPOSTOS-H162-TAXA_6X),2))</f>
        <v/>
      </c>
      <c r="L162" s="40" t="str">
        <f aca="false">IF(F162="","",ROUND(CALCULO!B162/(1-IMPOSTOS-H162-TAXA_10X),2))</f>
        <v/>
      </c>
    </row>
    <row r="163" customFormat="false" ht="15" hidden="false" customHeight="true" outlineLevel="0" collapsed="false">
      <c r="A163" s="8" t="n">
        <f aca="false">CALCULO!A163</f>
        <v>0</v>
      </c>
      <c r="B163" s="40" t="str">
        <f aca="false">IF(CALCULO!D163="","",CALCULO!D163)</f>
        <v/>
      </c>
      <c r="C163" s="40" t="str">
        <f aca="false">IF(CALCULO!E163="","",CALCULO!E163)</f>
        <v/>
      </c>
      <c r="D163" s="40" t="str">
        <f aca="false">IF(CALCULO!F163="","",CALCULO!F163)</f>
        <v/>
      </c>
      <c r="E163" s="40" t="str">
        <f aca="false">IF(CALCULO!G163="","",CALCULO!G163)</f>
        <v/>
      </c>
      <c r="F163" s="41"/>
      <c r="G163" s="42" t="str">
        <f aca="false">IF(F163="","",ROUND((F163-B163)/B163,4))</f>
        <v/>
      </c>
      <c r="H163" s="42" t="str">
        <f aca="false">IF(F163="","",1-IMPOSTOS-CALCULO!B163/F163)</f>
        <v/>
      </c>
      <c r="I163" s="42" t="str">
        <f aca="false">IF(F163="","",H163-CALCULO!C163)</f>
        <v/>
      </c>
      <c r="J163" s="40" t="str">
        <f aca="false">IF(F163="","",ROUND(CALCULO!B163/(1-IMPOSTOS-H163-TAXA_3X),2))</f>
        <v/>
      </c>
      <c r="K163" s="40" t="str">
        <f aca="false">IF(F163="","",ROUND(CALCULO!B163/(1-IMPOSTOS-H163-TAXA_6X),2))</f>
        <v/>
      </c>
      <c r="L163" s="40" t="str">
        <f aca="false">IF(F163="","",ROUND(CALCULO!B163/(1-IMPOSTOS-H163-TAXA_10X),2))</f>
        <v/>
      </c>
    </row>
    <row r="164" customFormat="false" ht="15" hidden="false" customHeight="true" outlineLevel="0" collapsed="false">
      <c r="A164" s="8" t="n">
        <f aca="false">CALCULO!A164</f>
        <v>0</v>
      </c>
      <c r="B164" s="40" t="str">
        <f aca="false">IF(CALCULO!D164="","",CALCULO!D164)</f>
        <v/>
      </c>
      <c r="C164" s="40" t="str">
        <f aca="false">IF(CALCULO!E164="","",CALCULO!E164)</f>
        <v/>
      </c>
      <c r="D164" s="40" t="str">
        <f aca="false">IF(CALCULO!F164="","",CALCULO!F164)</f>
        <v/>
      </c>
      <c r="E164" s="40" t="str">
        <f aca="false">IF(CALCULO!G164="","",CALCULO!G164)</f>
        <v/>
      </c>
      <c r="F164" s="41"/>
      <c r="G164" s="42" t="str">
        <f aca="false">IF(F164="","",ROUND((F164-B164)/B164,4))</f>
        <v/>
      </c>
      <c r="H164" s="42" t="str">
        <f aca="false">IF(F164="","",1-IMPOSTOS-CALCULO!B164/F164)</f>
        <v/>
      </c>
      <c r="I164" s="42" t="str">
        <f aca="false">IF(F164="","",H164-CALCULO!C164)</f>
        <v/>
      </c>
      <c r="J164" s="40" t="str">
        <f aca="false">IF(F164="","",ROUND(CALCULO!B164/(1-IMPOSTOS-H164-TAXA_3X),2))</f>
        <v/>
      </c>
      <c r="K164" s="40" t="str">
        <f aca="false">IF(F164="","",ROUND(CALCULO!B164/(1-IMPOSTOS-H164-TAXA_6X),2))</f>
        <v/>
      </c>
      <c r="L164" s="40" t="str">
        <f aca="false">IF(F164="","",ROUND(CALCULO!B164/(1-IMPOSTOS-H164-TAXA_10X),2))</f>
        <v/>
      </c>
    </row>
    <row r="165" customFormat="false" ht="15" hidden="false" customHeight="true" outlineLevel="0" collapsed="false">
      <c r="A165" s="8" t="n">
        <f aca="false">CALCULO!A165</f>
        <v>0</v>
      </c>
      <c r="B165" s="40" t="str">
        <f aca="false">IF(CALCULO!D165="","",CALCULO!D165)</f>
        <v/>
      </c>
      <c r="C165" s="40" t="str">
        <f aca="false">IF(CALCULO!E165="","",CALCULO!E165)</f>
        <v/>
      </c>
      <c r="D165" s="40" t="str">
        <f aca="false">IF(CALCULO!F165="","",CALCULO!F165)</f>
        <v/>
      </c>
      <c r="E165" s="40" t="str">
        <f aca="false">IF(CALCULO!G165="","",CALCULO!G165)</f>
        <v/>
      </c>
      <c r="F165" s="41"/>
      <c r="G165" s="42" t="str">
        <f aca="false">IF(F165="","",ROUND((F165-B165)/B165,4))</f>
        <v/>
      </c>
      <c r="H165" s="42" t="str">
        <f aca="false">IF(F165="","",1-IMPOSTOS-CALCULO!B165/F165)</f>
        <v/>
      </c>
      <c r="I165" s="42" t="str">
        <f aca="false">IF(F165="","",H165-CALCULO!C165)</f>
        <v/>
      </c>
      <c r="J165" s="40" t="str">
        <f aca="false">IF(F165="","",ROUND(CALCULO!B165/(1-IMPOSTOS-H165-TAXA_3X),2))</f>
        <v/>
      </c>
      <c r="K165" s="40" t="str">
        <f aca="false">IF(F165="","",ROUND(CALCULO!B165/(1-IMPOSTOS-H165-TAXA_6X),2))</f>
        <v/>
      </c>
      <c r="L165" s="40" t="str">
        <f aca="false">IF(F165="","",ROUND(CALCULO!B165/(1-IMPOSTOS-H165-TAXA_10X),2))</f>
        <v/>
      </c>
    </row>
    <row r="166" customFormat="false" ht="15" hidden="false" customHeight="true" outlineLevel="0" collapsed="false">
      <c r="A166" s="8" t="n">
        <f aca="false">CALCULO!A166</f>
        <v>0</v>
      </c>
      <c r="B166" s="40" t="str">
        <f aca="false">IF(CALCULO!D166="","",CALCULO!D166)</f>
        <v/>
      </c>
      <c r="C166" s="40" t="str">
        <f aca="false">IF(CALCULO!E166="","",CALCULO!E166)</f>
        <v/>
      </c>
      <c r="D166" s="40" t="str">
        <f aca="false">IF(CALCULO!F166="","",CALCULO!F166)</f>
        <v/>
      </c>
      <c r="E166" s="40" t="str">
        <f aca="false">IF(CALCULO!G166="","",CALCULO!G166)</f>
        <v/>
      </c>
      <c r="F166" s="41"/>
      <c r="G166" s="42" t="str">
        <f aca="false">IF(F166="","",ROUND((F166-B166)/B166,4))</f>
        <v/>
      </c>
      <c r="H166" s="42" t="str">
        <f aca="false">IF(F166="","",1-IMPOSTOS-CALCULO!B166/F166)</f>
        <v/>
      </c>
      <c r="I166" s="42" t="str">
        <f aca="false">IF(F166="","",H166-CALCULO!C166)</f>
        <v/>
      </c>
      <c r="J166" s="40" t="str">
        <f aca="false">IF(F166="","",ROUND(CALCULO!B166/(1-IMPOSTOS-H166-TAXA_3X),2))</f>
        <v/>
      </c>
      <c r="K166" s="40" t="str">
        <f aca="false">IF(F166="","",ROUND(CALCULO!B166/(1-IMPOSTOS-H166-TAXA_6X),2))</f>
        <v/>
      </c>
      <c r="L166" s="40" t="str">
        <f aca="false">IF(F166="","",ROUND(CALCULO!B166/(1-IMPOSTOS-H166-TAXA_10X),2))</f>
        <v/>
      </c>
    </row>
    <row r="167" customFormat="false" ht="15" hidden="false" customHeight="true" outlineLevel="0" collapsed="false">
      <c r="A167" s="8" t="n">
        <f aca="false">CALCULO!A167</f>
        <v>0</v>
      </c>
      <c r="B167" s="40" t="str">
        <f aca="false">IF(CALCULO!D167="","",CALCULO!D167)</f>
        <v/>
      </c>
      <c r="C167" s="40" t="str">
        <f aca="false">IF(CALCULO!E167="","",CALCULO!E167)</f>
        <v/>
      </c>
      <c r="D167" s="40" t="str">
        <f aca="false">IF(CALCULO!F167="","",CALCULO!F167)</f>
        <v/>
      </c>
      <c r="E167" s="40" t="str">
        <f aca="false">IF(CALCULO!G167="","",CALCULO!G167)</f>
        <v/>
      </c>
      <c r="F167" s="41"/>
      <c r="G167" s="42" t="str">
        <f aca="false">IF(F167="","",ROUND((F167-B167)/B167,4))</f>
        <v/>
      </c>
      <c r="H167" s="42" t="str">
        <f aca="false">IF(F167="","",1-IMPOSTOS-CALCULO!B167/F167)</f>
        <v/>
      </c>
      <c r="I167" s="42" t="str">
        <f aca="false">IF(F167="","",H167-CALCULO!C167)</f>
        <v/>
      </c>
      <c r="J167" s="40" t="str">
        <f aca="false">IF(F167="","",ROUND(CALCULO!B167/(1-IMPOSTOS-H167-TAXA_3X),2))</f>
        <v/>
      </c>
      <c r="K167" s="40" t="str">
        <f aca="false">IF(F167="","",ROUND(CALCULO!B167/(1-IMPOSTOS-H167-TAXA_6X),2))</f>
        <v/>
      </c>
      <c r="L167" s="40" t="str">
        <f aca="false">IF(F167="","",ROUND(CALCULO!B167/(1-IMPOSTOS-H167-TAXA_10X),2))</f>
        <v/>
      </c>
    </row>
    <row r="168" customFormat="false" ht="15" hidden="false" customHeight="true" outlineLevel="0" collapsed="false">
      <c r="A168" s="8" t="n">
        <f aca="false">CALCULO!A168</f>
        <v>0</v>
      </c>
      <c r="B168" s="40" t="str">
        <f aca="false">IF(CALCULO!D168="","",CALCULO!D168)</f>
        <v/>
      </c>
      <c r="C168" s="40" t="str">
        <f aca="false">IF(CALCULO!E168="","",CALCULO!E168)</f>
        <v/>
      </c>
      <c r="D168" s="40" t="str">
        <f aca="false">IF(CALCULO!F168="","",CALCULO!F168)</f>
        <v/>
      </c>
      <c r="E168" s="40" t="str">
        <f aca="false">IF(CALCULO!G168="","",CALCULO!G168)</f>
        <v/>
      </c>
      <c r="F168" s="41"/>
      <c r="G168" s="42" t="str">
        <f aca="false">IF(F168="","",ROUND((F168-B168)/B168,4))</f>
        <v/>
      </c>
      <c r="H168" s="42" t="str">
        <f aca="false">IF(F168="","",1-IMPOSTOS-CALCULO!B168/F168)</f>
        <v/>
      </c>
      <c r="I168" s="42" t="str">
        <f aca="false">IF(F168="","",H168-CALCULO!C168)</f>
        <v/>
      </c>
      <c r="J168" s="40" t="str">
        <f aca="false">IF(F168="","",ROUND(CALCULO!B168/(1-IMPOSTOS-H168-TAXA_3X),2))</f>
        <v/>
      </c>
      <c r="K168" s="40" t="str">
        <f aca="false">IF(F168="","",ROUND(CALCULO!B168/(1-IMPOSTOS-H168-TAXA_6X),2))</f>
        <v/>
      </c>
      <c r="L168" s="40" t="str">
        <f aca="false">IF(F168="","",ROUND(CALCULO!B168/(1-IMPOSTOS-H168-TAXA_10X),2))</f>
        <v/>
      </c>
    </row>
    <row r="169" customFormat="false" ht="15" hidden="false" customHeight="true" outlineLevel="0" collapsed="false">
      <c r="A169" s="8" t="n">
        <f aca="false">CALCULO!A169</f>
        <v>0</v>
      </c>
      <c r="B169" s="40" t="str">
        <f aca="false">IF(CALCULO!D169="","",CALCULO!D169)</f>
        <v/>
      </c>
      <c r="C169" s="40" t="str">
        <f aca="false">IF(CALCULO!E169="","",CALCULO!E169)</f>
        <v/>
      </c>
      <c r="D169" s="40" t="str">
        <f aca="false">IF(CALCULO!F169="","",CALCULO!F169)</f>
        <v/>
      </c>
      <c r="E169" s="40" t="str">
        <f aca="false">IF(CALCULO!G169="","",CALCULO!G169)</f>
        <v/>
      </c>
      <c r="F169" s="41"/>
      <c r="G169" s="42" t="str">
        <f aca="false">IF(F169="","",ROUND((F169-B169)/B169,4))</f>
        <v/>
      </c>
      <c r="H169" s="42" t="str">
        <f aca="false">IF(F169="","",1-IMPOSTOS-CALCULO!B169/F169)</f>
        <v/>
      </c>
      <c r="I169" s="42" t="str">
        <f aca="false">IF(F169="","",H169-CALCULO!C169)</f>
        <v/>
      </c>
      <c r="J169" s="40" t="str">
        <f aca="false">IF(F169="","",ROUND(CALCULO!B169/(1-IMPOSTOS-H169-TAXA_3X),2))</f>
        <v/>
      </c>
      <c r="K169" s="40" t="str">
        <f aca="false">IF(F169="","",ROUND(CALCULO!B169/(1-IMPOSTOS-H169-TAXA_6X),2))</f>
        <v/>
      </c>
      <c r="L169" s="40" t="str">
        <f aca="false">IF(F169="","",ROUND(CALCULO!B169/(1-IMPOSTOS-H169-TAXA_10X),2))</f>
        <v/>
      </c>
    </row>
    <row r="170" customFormat="false" ht="15" hidden="false" customHeight="true" outlineLevel="0" collapsed="false">
      <c r="A170" s="8" t="n">
        <f aca="false">CALCULO!A170</f>
        <v>0</v>
      </c>
      <c r="B170" s="40" t="str">
        <f aca="false">IF(CALCULO!D170="","",CALCULO!D170)</f>
        <v/>
      </c>
      <c r="C170" s="40" t="str">
        <f aca="false">IF(CALCULO!E170="","",CALCULO!E170)</f>
        <v/>
      </c>
      <c r="D170" s="40" t="str">
        <f aca="false">IF(CALCULO!F170="","",CALCULO!F170)</f>
        <v/>
      </c>
      <c r="E170" s="40" t="str">
        <f aca="false">IF(CALCULO!G170="","",CALCULO!G170)</f>
        <v/>
      </c>
      <c r="F170" s="41"/>
      <c r="G170" s="42" t="str">
        <f aca="false">IF(F170="","",ROUND((F170-B170)/B170,4))</f>
        <v/>
      </c>
      <c r="H170" s="42" t="str">
        <f aca="false">IF(F170="","",1-IMPOSTOS-CALCULO!B170/F170)</f>
        <v/>
      </c>
      <c r="I170" s="42" t="str">
        <f aca="false">IF(F170="","",H170-CALCULO!C170)</f>
        <v/>
      </c>
      <c r="J170" s="40" t="str">
        <f aca="false">IF(F170="","",ROUND(CALCULO!B170/(1-IMPOSTOS-H170-TAXA_3X),2))</f>
        <v/>
      </c>
      <c r="K170" s="40" t="str">
        <f aca="false">IF(F170="","",ROUND(CALCULO!B170/(1-IMPOSTOS-H170-TAXA_6X),2))</f>
        <v/>
      </c>
      <c r="L170" s="40" t="str">
        <f aca="false">IF(F170="","",ROUND(CALCULO!B170/(1-IMPOSTOS-H170-TAXA_10X),2))</f>
        <v/>
      </c>
    </row>
    <row r="171" customFormat="false" ht="15" hidden="false" customHeight="true" outlineLevel="0" collapsed="false">
      <c r="A171" s="8" t="n">
        <f aca="false">CALCULO!A171</f>
        <v>0</v>
      </c>
      <c r="B171" s="40" t="str">
        <f aca="false">IF(CALCULO!D171="","",CALCULO!D171)</f>
        <v/>
      </c>
      <c r="C171" s="40" t="str">
        <f aca="false">IF(CALCULO!E171="","",CALCULO!E171)</f>
        <v/>
      </c>
      <c r="D171" s="40" t="str">
        <f aca="false">IF(CALCULO!F171="","",CALCULO!F171)</f>
        <v/>
      </c>
      <c r="E171" s="40" t="str">
        <f aca="false">IF(CALCULO!G171="","",CALCULO!G171)</f>
        <v/>
      </c>
      <c r="F171" s="41"/>
      <c r="G171" s="42" t="str">
        <f aca="false">IF(F171="","",ROUND((F171-B171)/B171,4))</f>
        <v/>
      </c>
      <c r="H171" s="42" t="str">
        <f aca="false">IF(F171="","",1-IMPOSTOS-CALCULO!B171/F171)</f>
        <v/>
      </c>
      <c r="I171" s="42" t="str">
        <f aca="false">IF(F171="","",H171-CALCULO!C171)</f>
        <v/>
      </c>
      <c r="J171" s="40" t="str">
        <f aca="false">IF(F171="","",ROUND(CALCULO!B171/(1-IMPOSTOS-H171-TAXA_3X),2))</f>
        <v/>
      </c>
      <c r="K171" s="40" t="str">
        <f aca="false">IF(F171="","",ROUND(CALCULO!B171/(1-IMPOSTOS-H171-TAXA_6X),2))</f>
        <v/>
      </c>
      <c r="L171" s="40" t="str">
        <f aca="false">IF(F171="","",ROUND(CALCULO!B171/(1-IMPOSTOS-H171-TAXA_10X),2))</f>
        <v/>
      </c>
    </row>
    <row r="172" customFormat="false" ht="15" hidden="false" customHeight="true" outlineLevel="0" collapsed="false">
      <c r="A172" s="8" t="n">
        <f aca="false">CALCULO!A172</f>
        <v>0</v>
      </c>
      <c r="B172" s="40" t="str">
        <f aca="false">IF(CALCULO!D172="","",CALCULO!D172)</f>
        <v/>
      </c>
      <c r="C172" s="40" t="str">
        <f aca="false">IF(CALCULO!E172="","",CALCULO!E172)</f>
        <v/>
      </c>
      <c r="D172" s="40" t="str">
        <f aca="false">IF(CALCULO!F172="","",CALCULO!F172)</f>
        <v/>
      </c>
      <c r="E172" s="40" t="str">
        <f aca="false">IF(CALCULO!G172="","",CALCULO!G172)</f>
        <v/>
      </c>
      <c r="F172" s="41"/>
      <c r="G172" s="42" t="str">
        <f aca="false">IF(F172="","",ROUND((F172-B172)/B172,4))</f>
        <v/>
      </c>
      <c r="H172" s="42" t="str">
        <f aca="false">IF(F172="","",1-IMPOSTOS-CALCULO!B172/F172)</f>
        <v/>
      </c>
      <c r="I172" s="42" t="str">
        <f aca="false">IF(F172="","",H172-CALCULO!C172)</f>
        <v/>
      </c>
      <c r="J172" s="40" t="str">
        <f aca="false">IF(F172="","",ROUND(CALCULO!B172/(1-IMPOSTOS-H172-TAXA_3X),2))</f>
        <v/>
      </c>
      <c r="K172" s="40" t="str">
        <f aca="false">IF(F172="","",ROUND(CALCULO!B172/(1-IMPOSTOS-H172-TAXA_6X),2))</f>
        <v/>
      </c>
      <c r="L172" s="40" t="str">
        <f aca="false">IF(F172="","",ROUND(CALCULO!B172/(1-IMPOSTOS-H172-TAXA_10X),2))</f>
        <v/>
      </c>
    </row>
    <row r="173" customFormat="false" ht="15" hidden="false" customHeight="true" outlineLevel="0" collapsed="false">
      <c r="A173" s="8" t="n">
        <f aca="false">CALCULO!A173</f>
        <v>0</v>
      </c>
      <c r="B173" s="40" t="str">
        <f aca="false">IF(CALCULO!D173="","",CALCULO!D173)</f>
        <v/>
      </c>
      <c r="C173" s="40" t="str">
        <f aca="false">IF(CALCULO!E173="","",CALCULO!E173)</f>
        <v/>
      </c>
      <c r="D173" s="40" t="str">
        <f aca="false">IF(CALCULO!F173="","",CALCULO!F173)</f>
        <v/>
      </c>
      <c r="E173" s="40" t="str">
        <f aca="false">IF(CALCULO!G173="","",CALCULO!G173)</f>
        <v/>
      </c>
      <c r="F173" s="41"/>
      <c r="G173" s="42" t="str">
        <f aca="false">IF(F173="","",ROUND((F173-B173)/B173,4))</f>
        <v/>
      </c>
      <c r="H173" s="42" t="str">
        <f aca="false">IF(F173="","",1-IMPOSTOS-CALCULO!B173/F173)</f>
        <v/>
      </c>
      <c r="I173" s="42" t="str">
        <f aca="false">IF(F173="","",H173-CALCULO!C173)</f>
        <v/>
      </c>
      <c r="J173" s="40" t="str">
        <f aca="false">IF(F173="","",ROUND(CALCULO!B173/(1-IMPOSTOS-H173-TAXA_3X),2))</f>
        <v/>
      </c>
      <c r="K173" s="40" t="str">
        <f aca="false">IF(F173="","",ROUND(CALCULO!B173/(1-IMPOSTOS-H173-TAXA_6X),2))</f>
        <v/>
      </c>
      <c r="L173" s="40" t="str">
        <f aca="false">IF(F173="","",ROUND(CALCULO!B173/(1-IMPOSTOS-H173-TAXA_10X),2))</f>
        <v/>
      </c>
    </row>
    <row r="174" customFormat="false" ht="15" hidden="false" customHeight="true" outlineLevel="0" collapsed="false">
      <c r="A174" s="8" t="n">
        <f aca="false">CALCULO!A174</f>
        <v>0</v>
      </c>
      <c r="B174" s="40" t="str">
        <f aca="false">IF(CALCULO!D174="","",CALCULO!D174)</f>
        <v/>
      </c>
      <c r="C174" s="40" t="str">
        <f aca="false">IF(CALCULO!E174="","",CALCULO!E174)</f>
        <v/>
      </c>
      <c r="D174" s="40" t="str">
        <f aca="false">IF(CALCULO!F174="","",CALCULO!F174)</f>
        <v/>
      </c>
      <c r="E174" s="40" t="str">
        <f aca="false">IF(CALCULO!G174="","",CALCULO!G174)</f>
        <v/>
      </c>
      <c r="F174" s="41"/>
      <c r="G174" s="42" t="str">
        <f aca="false">IF(F174="","",ROUND((F174-B174)/B174,4))</f>
        <v/>
      </c>
      <c r="H174" s="42" t="str">
        <f aca="false">IF(F174="","",1-IMPOSTOS-CALCULO!B174/F174)</f>
        <v/>
      </c>
      <c r="I174" s="42" t="str">
        <f aca="false">IF(F174="","",H174-CALCULO!C174)</f>
        <v/>
      </c>
      <c r="J174" s="40" t="str">
        <f aca="false">IF(F174="","",ROUND(CALCULO!B174/(1-IMPOSTOS-H174-TAXA_3X),2))</f>
        <v/>
      </c>
      <c r="K174" s="40" t="str">
        <f aca="false">IF(F174="","",ROUND(CALCULO!B174/(1-IMPOSTOS-H174-TAXA_6X),2))</f>
        <v/>
      </c>
      <c r="L174" s="40" t="str">
        <f aca="false">IF(F174="","",ROUND(CALCULO!B174/(1-IMPOSTOS-H174-TAXA_10X),2))</f>
        <v/>
      </c>
    </row>
    <row r="175" customFormat="false" ht="15" hidden="false" customHeight="true" outlineLevel="0" collapsed="false">
      <c r="A175" s="8" t="n">
        <f aca="false">CALCULO!A175</f>
        <v>0</v>
      </c>
      <c r="B175" s="40" t="str">
        <f aca="false">IF(CALCULO!D175="","",CALCULO!D175)</f>
        <v/>
      </c>
      <c r="C175" s="40" t="str">
        <f aca="false">IF(CALCULO!E175="","",CALCULO!E175)</f>
        <v/>
      </c>
      <c r="D175" s="40" t="str">
        <f aca="false">IF(CALCULO!F175="","",CALCULO!F175)</f>
        <v/>
      </c>
      <c r="E175" s="40" t="str">
        <f aca="false">IF(CALCULO!G175="","",CALCULO!G175)</f>
        <v/>
      </c>
      <c r="F175" s="41"/>
      <c r="G175" s="42" t="str">
        <f aca="false">IF(F175="","",ROUND((F175-B175)/B175,4))</f>
        <v/>
      </c>
      <c r="H175" s="42" t="str">
        <f aca="false">IF(F175="","",1-IMPOSTOS-CALCULO!B175/F175)</f>
        <v/>
      </c>
      <c r="I175" s="42" t="str">
        <f aca="false">IF(F175="","",H175-CALCULO!C175)</f>
        <v/>
      </c>
      <c r="J175" s="40" t="str">
        <f aca="false">IF(F175="","",ROUND(CALCULO!B175/(1-IMPOSTOS-H175-TAXA_3X),2))</f>
        <v/>
      </c>
      <c r="K175" s="40" t="str">
        <f aca="false">IF(F175="","",ROUND(CALCULO!B175/(1-IMPOSTOS-H175-TAXA_6X),2))</f>
        <v/>
      </c>
      <c r="L175" s="40" t="str">
        <f aca="false">IF(F175="","",ROUND(CALCULO!B175/(1-IMPOSTOS-H175-TAXA_10X),2))</f>
        <v/>
      </c>
    </row>
    <row r="176" customFormat="false" ht="15" hidden="false" customHeight="true" outlineLevel="0" collapsed="false">
      <c r="A176" s="8" t="n">
        <f aca="false">CALCULO!A176</f>
        <v>0</v>
      </c>
      <c r="B176" s="40" t="str">
        <f aca="false">IF(CALCULO!D176="","",CALCULO!D176)</f>
        <v/>
      </c>
      <c r="C176" s="40" t="str">
        <f aca="false">IF(CALCULO!E176="","",CALCULO!E176)</f>
        <v/>
      </c>
      <c r="D176" s="40" t="str">
        <f aca="false">IF(CALCULO!F176="","",CALCULO!F176)</f>
        <v/>
      </c>
      <c r="E176" s="40" t="str">
        <f aca="false">IF(CALCULO!G176="","",CALCULO!G176)</f>
        <v/>
      </c>
      <c r="F176" s="41"/>
      <c r="G176" s="42" t="str">
        <f aca="false">IF(F176="","",ROUND((F176-B176)/B176,4))</f>
        <v/>
      </c>
      <c r="H176" s="42" t="str">
        <f aca="false">IF(F176="","",1-IMPOSTOS-CALCULO!B176/F176)</f>
        <v/>
      </c>
      <c r="I176" s="42" t="str">
        <f aca="false">IF(F176="","",H176-CALCULO!C176)</f>
        <v/>
      </c>
      <c r="J176" s="40" t="str">
        <f aca="false">IF(F176="","",ROUND(CALCULO!B176/(1-IMPOSTOS-H176-TAXA_3X),2))</f>
        <v/>
      </c>
      <c r="K176" s="40" t="str">
        <f aca="false">IF(F176="","",ROUND(CALCULO!B176/(1-IMPOSTOS-H176-TAXA_6X),2))</f>
        <v/>
      </c>
      <c r="L176" s="40" t="str">
        <f aca="false">IF(F176="","",ROUND(CALCULO!B176/(1-IMPOSTOS-H176-TAXA_10X),2))</f>
        <v/>
      </c>
    </row>
    <row r="177" customFormat="false" ht="15" hidden="false" customHeight="true" outlineLevel="0" collapsed="false">
      <c r="A177" s="8" t="n">
        <f aca="false">CALCULO!A177</f>
        <v>0</v>
      </c>
      <c r="B177" s="40" t="str">
        <f aca="false">IF(CALCULO!D177="","",CALCULO!D177)</f>
        <v/>
      </c>
      <c r="C177" s="40" t="str">
        <f aca="false">IF(CALCULO!E177="","",CALCULO!E177)</f>
        <v/>
      </c>
      <c r="D177" s="40" t="str">
        <f aca="false">IF(CALCULO!F177="","",CALCULO!F177)</f>
        <v/>
      </c>
      <c r="E177" s="40" t="str">
        <f aca="false">IF(CALCULO!G177="","",CALCULO!G177)</f>
        <v/>
      </c>
      <c r="F177" s="41"/>
      <c r="G177" s="42" t="str">
        <f aca="false">IF(F177="","",ROUND((F177-B177)/B177,4))</f>
        <v/>
      </c>
      <c r="H177" s="42" t="str">
        <f aca="false">IF(F177="","",1-IMPOSTOS-CALCULO!B177/F177)</f>
        <v/>
      </c>
      <c r="I177" s="42" t="str">
        <f aca="false">IF(F177="","",H177-CALCULO!C177)</f>
        <v/>
      </c>
      <c r="J177" s="40" t="str">
        <f aca="false">IF(F177="","",ROUND(CALCULO!B177/(1-IMPOSTOS-H177-TAXA_3X),2))</f>
        <v/>
      </c>
      <c r="K177" s="40" t="str">
        <f aca="false">IF(F177="","",ROUND(CALCULO!B177/(1-IMPOSTOS-H177-TAXA_6X),2))</f>
        <v/>
      </c>
      <c r="L177" s="40" t="str">
        <f aca="false">IF(F177="","",ROUND(CALCULO!B177/(1-IMPOSTOS-H177-TAXA_10X),2))</f>
        <v/>
      </c>
    </row>
    <row r="178" customFormat="false" ht="15" hidden="false" customHeight="true" outlineLevel="0" collapsed="false">
      <c r="A178" s="8" t="n">
        <f aca="false">CALCULO!A178</f>
        <v>0</v>
      </c>
      <c r="B178" s="40" t="str">
        <f aca="false">IF(CALCULO!D178="","",CALCULO!D178)</f>
        <v/>
      </c>
      <c r="C178" s="40" t="str">
        <f aca="false">IF(CALCULO!E178="","",CALCULO!E178)</f>
        <v/>
      </c>
      <c r="D178" s="40" t="str">
        <f aca="false">IF(CALCULO!F178="","",CALCULO!F178)</f>
        <v/>
      </c>
      <c r="E178" s="40" t="str">
        <f aca="false">IF(CALCULO!G178="","",CALCULO!G178)</f>
        <v/>
      </c>
      <c r="F178" s="41"/>
      <c r="G178" s="42" t="str">
        <f aca="false">IF(F178="","",ROUND((F178-B178)/B178,4))</f>
        <v/>
      </c>
      <c r="H178" s="42" t="str">
        <f aca="false">IF(F178="","",1-IMPOSTOS-CALCULO!B178/F178)</f>
        <v/>
      </c>
      <c r="I178" s="42" t="str">
        <f aca="false">IF(F178="","",H178-CALCULO!C178)</f>
        <v/>
      </c>
      <c r="J178" s="40" t="str">
        <f aca="false">IF(F178="","",ROUND(CALCULO!B178/(1-IMPOSTOS-H178-TAXA_3X),2))</f>
        <v/>
      </c>
      <c r="K178" s="40" t="str">
        <f aca="false">IF(F178="","",ROUND(CALCULO!B178/(1-IMPOSTOS-H178-TAXA_6X),2))</f>
        <v/>
      </c>
      <c r="L178" s="40" t="str">
        <f aca="false">IF(F178="","",ROUND(CALCULO!B178/(1-IMPOSTOS-H178-TAXA_10X),2))</f>
        <v/>
      </c>
    </row>
    <row r="179" customFormat="false" ht="15" hidden="false" customHeight="true" outlineLevel="0" collapsed="false">
      <c r="A179" s="8" t="n">
        <f aca="false">CALCULO!A179</f>
        <v>0</v>
      </c>
      <c r="B179" s="40" t="str">
        <f aca="false">IF(CALCULO!D179="","",CALCULO!D179)</f>
        <v/>
      </c>
      <c r="C179" s="40" t="str">
        <f aca="false">IF(CALCULO!E179="","",CALCULO!E179)</f>
        <v/>
      </c>
      <c r="D179" s="40" t="str">
        <f aca="false">IF(CALCULO!F179="","",CALCULO!F179)</f>
        <v/>
      </c>
      <c r="E179" s="40" t="str">
        <f aca="false">IF(CALCULO!G179="","",CALCULO!G179)</f>
        <v/>
      </c>
      <c r="F179" s="41"/>
      <c r="G179" s="42" t="str">
        <f aca="false">IF(F179="","",ROUND((F179-B179)/B179,4))</f>
        <v/>
      </c>
      <c r="H179" s="42" t="str">
        <f aca="false">IF(F179="","",1-IMPOSTOS-CALCULO!B179/F179)</f>
        <v/>
      </c>
      <c r="I179" s="42" t="str">
        <f aca="false">IF(F179="","",H179-CALCULO!C179)</f>
        <v/>
      </c>
      <c r="J179" s="40" t="str">
        <f aca="false">IF(F179="","",ROUND(CALCULO!B179/(1-IMPOSTOS-H179-TAXA_3X),2))</f>
        <v/>
      </c>
      <c r="K179" s="40" t="str">
        <f aca="false">IF(F179="","",ROUND(CALCULO!B179/(1-IMPOSTOS-H179-TAXA_6X),2))</f>
        <v/>
      </c>
      <c r="L179" s="40" t="str">
        <f aca="false">IF(F179="","",ROUND(CALCULO!B179/(1-IMPOSTOS-H179-TAXA_10X),2))</f>
        <v/>
      </c>
    </row>
    <row r="180" customFormat="false" ht="15" hidden="false" customHeight="true" outlineLevel="0" collapsed="false">
      <c r="A180" s="8" t="n">
        <f aca="false">CALCULO!A180</f>
        <v>0</v>
      </c>
      <c r="B180" s="40" t="str">
        <f aca="false">IF(CALCULO!D180="","",CALCULO!D180)</f>
        <v/>
      </c>
      <c r="C180" s="40" t="str">
        <f aca="false">IF(CALCULO!E180="","",CALCULO!E180)</f>
        <v/>
      </c>
      <c r="D180" s="40" t="str">
        <f aca="false">IF(CALCULO!F180="","",CALCULO!F180)</f>
        <v/>
      </c>
      <c r="E180" s="40" t="str">
        <f aca="false">IF(CALCULO!G180="","",CALCULO!G180)</f>
        <v/>
      </c>
      <c r="F180" s="41"/>
      <c r="G180" s="42" t="str">
        <f aca="false">IF(F180="","",ROUND((F180-B180)/B180,4))</f>
        <v/>
      </c>
      <c r="H180" s="42" t="str">
        <f aca="false">IF(F180="","",1-IMPOSTOS-CALCULO!B180/F180)</f>
        <v/>
      </c>
      <c r="I180" s="42" t="str">
        <f aca="false">IF(F180="","",H180-CALCULO!C180)</f>
        <v/>
      </c>
      <c r="J180" s="40" t="str">
        <f aca="false">IF(F180="","",ROUND(CALCULO!B180/(1-IMPOSTOS-H180-TAXA_3X),2))</f>
        <v/>
      </c>
      <c r="K180" s="40" t="str">
        <f aca="false">IF(F180="","",ROUND(CALCULO!B180/(1-IMPOSTOS-H180-TAXA_6X),2))</f>
        <v/>
      </c>
      <c r="L180" s="40" t="str">
        <f aca="false">IF(F180="","",ROUND(CALCULO!B180/(1-IMPOSTOS-H180-TAXA_10X),2))</f>
        <v/>
      </c>
    </row>
    <row r="181" customFormat="false" ht="15" hidden="false" customHeight="true" outlineLevel="0" collapsed="false">
      <c r="A181" s="8" t="n">
        <f aca="false">CALCULO!A181</f>
        <v>0</v>
      </c>
      <c r="B181" s="40" t="str">
        <f aca="false">IF(CALCULO!D181="","",CALCULO!D181)</f>
        <v/>
      </c>
      <c r="C181" s="40" t="str">
        <f aca="false">IF(CALCULO!E181="","",CALCULO!E181)</f>
        <v/>
      </c>
      <c r="D181" s="40" t="str">
        <f aca="false">IF(CALCULO!F181="","",CALCULO!F181)</f>
        <v/>
      </c>
      <c r="E181" s="40" t="str">
        <f aca="false">IF(CALCULO!G181="","",CALCULO!G181)</f>
        <v/>
      </c>
      <c r="F181" s="41"/>
      <c r="G181" s="42" t="str">
        <f aca="false">IF(F181="","",ROUND((F181-B181)/B181,4))</f>
        <v/>
      </c>
      <c r="H181" s="42" t="str">
        <f aca="false">IF(F181="","",1-IMPOSTOS-CALCULO!B181/F181)</f>
        <v/>
      </c>
      <c r="I181" s="42" t="str">
        <f aca="false">IF(F181="","",H181-CALCULO!C181)</f>
        <v/>
      </c>
      <c r="J181" s="40" t="str">
        <f aca="false">IF(F181="","",ROUND(CALCULO!B181/(1-IMPOSTOS-H181-TAXA_3X),2))</f>
        <v/>
      </c>
      <c r="K181" s="40" t="str">
        <f aca="false">IF(F181="","",ROUND(CALCULO!B181/(1-IMPOSTOS-H181-TAXA_6X),2))</f>
        <v/>
      </c>
      <c r="L181" s="40" t="str">
        <f aca="false">IF(F181="","",ROUND(CALCULO!B181/(1-IMPOSTOS-H181-TAXA_10X),2))</f>
        <v/>
      </c>
    </row>
    <row r="182" customFormat="false" ht="15" hidden="false" customHeight="true" outlineLevel="0" collapsed="false">
      <c r="A182" s="8" t="n">
        <f aca="false">CALCULO!A182</f>
        <v>0</v>
      </c>
      <c r="B182" s="40" t="str">
        <f aca="false">IF(CALCULO!D182="","",CALCULO!D182)</f>
        <v/>
      </c>
      <c r="C182" s="40" t="str">
        <f aca="false">IF(CALCULO!E182="","",CALCULO!E182)</f>
        <v/>
      </c>
      <c r="D182" s="40" t="str">
        <f aca="false">IF(CALCULO!F182="","",CALCULO!F182)</f>
        <v/>
      </c>
      <c r="E182" s="40" t="str">
        <f aca="false">IF(CALCULO!G182="","",CALCULO!G182)</f>
        <v/>
      </c>
      <c r="F182" s="41"/>
      <c r="G182" s="42" t="str">
        <f aca="false">IF(F182="","",ROUND((F182-B182)/B182,4))</f>
        <v/>
      </c>
      <c r="H182" s="42" t="str">
        <f aca="false">IF(F182="","",1-IMPOSTOS-CALCULO!B182/F182)</f>
        <v/>
      </c>
      <c r="I182" s="42" t="str">
        <f aca="false">IF(F182="","",H182-CALCULO!C182)</f>
        <v/>
      </c>
      <c r="J182" s="40" t="str">
        <f aca="false">IF(F182="","",ROUND(CALCULO!B182/(1-IMPOSTOS-H182-TAXA_3X),2))</f>
        <v/>
      </c>
      <c r="K182" s="40" t="str">
        <f aca="false">IF(F182="","",ROUND(CALCULO!B182/(1-IMPOSTOS-H182-TAXA_6X),2))</f>
        <v/>
      </c>
      <c r="L182" s="40" t="str">
        <f aca="false">IF(F182="","",ROUND(CALCULO!B182/(1-IMPOSTOS-H182-TAXA_10X),2))</f>
        <v/>
      </c>
    </row>
    <row r="183" customFormat="false" ht="15" hidden="false" customHeight="true" outlineLevel="0" collapsed="false">
      <c r="A183" s="8" t="n">
        <f aca="false">CALCULO!A183</f>
        <v>0</v>
      </c>
      <c r="B183" s="40" t="str">
        <f aca="false">IF(CALCULO!D183="","",CALCULO!D183)</f>
        <v/>
      </c>
      <c r="C183" s="40" t="str">
        <f aca="false">IF(CALCULO!E183="","",CALCULO!E183)</f>
        <v/>
      </c>
      <c r="D183" s="40" t="str">
        <f aca="false">IF(CALCULO!F183="","",CALCULO!F183)</f>
        <v/>
      </c>
      <c r="E183" s="40" t="str">
        <f aca="false">IF(CALCULO!G183="","",CALCULO!G183)</f>
        <v/>
      </c>
      <c r="F183" s="41"/>
      <c r="G183" s="42" t="str">
        <f aca="false">IF(F183="","",ROUND((F183-B183)/B183,4))</f>
        <v/>
      </c>
      <c r="H183" s="42" t="str">
        <f aca="false">IF(F183="","",1-IMPOSTOS-CALCULO!B183/F183)</f>
        <v/>
      </c>
      <c r="I183" s="42" t="str">
        <f aca="false">IF(F183="","",H183-CALCULO!C183)</f>
        <v/>
      </c>
      <c r="J183" s="40" t="str">
        <f aca="false">IF(F183="","",ROUND(CALCULO!B183/(1-IMPOSTOS-H183-TAXA_3X),2))</f>
        <v/>
      </c>
      <c r="K183" s="40" t="str">
        <f aca="false">IF(F183="","",ROUND(CALCULO!B183/(1-IMPOSTOS-H183-TAXA_6X),2))</f>
        <v/>
      </c>
      <c r="L183" s="40" t="str">
        <f aca="false">IF(F183="","",ROUND(CALCULO!B183/(1-IMPOSTOS-H183-TAXA_10X),2))</f>
        <v/>
      </c>
    </row>
    <row r="184" customFormat="false" ht="15" hidden="false" customHeight="true" outlineLevel="0" collapsed="false">
      <c r="A184" s="8" t="n">
        <f aca="false">CALCULO!A184</f>
        <v>0</v>
      </c>
      <c r="B184" s="40" t="str">
        <f aca="false">IF(CALCULO!D184="","",CALCULO!D184)</f>
        <v/>
      </c>
      <c r="C184" s="40" t="str">
        <f aca="false">IF(CALCULO!E184="","",CALCULO!E184)</f>
        <v/>
      </c>
      <c r="D184" s="40" t="str">
        <f aca="false">IF(CALCULO!F184="","",CALCULO!F184)</f>
        <v/>
      </c>
      <c r="E184" s="40" t="str">
        <f aca="false">IF(CALCULO!G184="","",CALCULO!G184)</f>
        <v/>
      </c>
      <c r="F184" s="41"/>
      <c r="G184" s="42" t="str">
        <f aca="false">IF(F184="","",ROUND((F184-B184)/B184,4))</f>
        <v/>
      </c>
      <c r="H184" s="42" t="str">
        <f aca="false">IF(F184="","",1-IMPOSTOS-CALCULO!B184/F184)</f>
        <v/>
      </c>
      <c r="I184" s="42" t="str">
        <f aca="false">IF(F184="","",H184-CALCULO!C184)</f>
        <v/>
      </c>
      <c r="J184" s="40" t="str">
        <f aca="false">IF(F184="","",ROUND(CALCULO!B184/(1-IMPOSTOS-H184-TAXA_3X),2))</f>
        <v/>
      </c>
      <c r="K184" s="40" t="str">
        <f aca="false">IF(F184="","",ROUND(CALCULO!B184/(1-IMPOSTOS-H184-TAXA_6X),2))</f>
        <v/>
      </c>
      <c r="L184" s="40" t="str">
        <f aca="false">IF(F184="","",ROUND(CALCULO!B184/(1-IMPOSTOS-H184-TAXA_10X),2))</f>
        <v/>
      </c>
    </row>
    <row r="185" customFormat="false" ht="15" hidden="false" customHeight="true" outlineLevel="0" collapsed="false">
      <c r="A185" s="8" t="n">
        <f aca="false">CALCULO!A185</f>
        <v>0</v>
      </c>
      <c r="B185" s="40" t="str">
        <f aca="false">IF(CALCULO!D185="","",CALCULO!D185)</f>
        <v/>
      </c>
      <c r="C185" s="40" t="str">
        <f aca="false">IF(CALCULO!E185="","",CALCULO!E185)</f>
        <v/>
      </c>
      <c r="D185" s="40" t="str">
        <f aca="false">IF(CALCULO!F185="","",CALCULO!F185)</f>
        <v/>
      </c>
      <c r="E185" s="40" t="str">
        <f aca="false">IF(CALCULO!G185="","",CALCULO!G185)</f>
        <v/>
      </c>
      <c r="F185" s="41"/>
      <c r="G185" s="42" t="str">
        <f aca="false">IF(F185="","",ROUND((F185-B185)/B185,4))</f>
        <v/>
      </c>
      <c r="H185" s="42" t="str">
        <f aca="false">IF(F185="","",1-IMPOSTOS-CALCULO!B185/F185)</f>
        <v/>
      </c>
      <c r="I185" s="42" t="str">
        <f aca="false">IF(F185="","",H185-CALCULO!C185)</f>
        <v/>
      </c>
      <c r="J185" s="40" t="str">
        <f aca="false">IF(F185="","",ROUND(CALCULO!B185/(1-IMPOSTOS-H185-TAXA_3X),2))</f>
        <v/>
      </c>
      <c r="K185" s="40" t="str">
        <f aca="false">IF(F185="","",ROUND(CALCULO!B185/(1-IMPOSTOS-H185-TAXA_6X),2))</f>
        <v/>
      </c>
      <c r="L185" s="40" t="str">
        <f aca="false">IF(F185="","",ROUND(CALCULO!B185/(1-IMPOSTOS-H185-TAXA_10X),2))</f>
        <v/>
      </c>
    </row>
    <row r="186" customFormat="false" ht="15" hidden="false" customHeight="true" outlineLevel="0" collapsed="false">
      <c r="A186" s="8" t="n">
        <f aca="false">CALCULO!A186</f>
        <v>0</v>
      </c>
      <c r="B186" s="40" t="str">
        <f aca="false">IF(CALCULO!D186="","",CALCULO!D186)</f>
        <v/>
      </c>
      <c r="C186" s="40" t="str">
        <f aca="false">IF(CALCULO!E186="","",CALCULO!E186)</f>
        <v/>
      </c>
      <c r="D186" s="40" t="str">
        <f aca="false">IF(CALCULO!F186="","",CALCULO!F186)</f>
        <v/>
      </c>
      <c r="E186" s="40" t="str">
        <f aca="false">IF(CALCULO!G186="","",CALCULO!G186)</f>
        <v/>
      </c>
      <c r="F186" s="41"/>
      <c r="G186" s="42" t="str">
        <f aca="false">IF(F186="","",ROUND((F186-B186)/B186,4))</f>
        <v/>
      </c>
      <c r="H186" s="42" t="str">
        <f aca="false">IF(F186="","",1-IMPOSTOS-CALCULO!B186/F186)</f>
        <v/>
      </c>
      <c r="I186" s="42" t="str">
        <f aca="false">IF(F186="","",H186-CALCULO!C186)</f>
        <v/>
      </c>
      <c r="J186" s="40" t="str">
        <f aca="false">IF(F186="","",ROUND(CALCULO!B186/(1-IMPOSTOS-H186-TAXA_3X),2))</f>
        <v/>
      </c>
      <c r="K186" s="40" t="str">
        <f aca="false">IF(F186="","",ROUND(CALCULO!B186/(1-IMPOSTOS-H186-TAXA_6X),2))</f>
        <v/>
      </c>
      <c r="L186" s="40" t="str">
        <f aca="false">IF(F186="","",ROUND(CALCULO!B186/(1-IMPOSTOS-H186-TAXA_10X),2))</f>
        <v/>
      </c>
    </row>
    <row r="187" customFormat="false" ht="15" hidden="false" customHeight="true" outlineLevel="0" collapsed="false">
      <c r="A187" s="8" t="n">
        <f aca="false">CALCULO!A187</f>
        <v>0</v>
      </c>
      <c r="B187" s="40" t="str">
        <f aca="false">IF(CALCULO!D187="","",CALCULO!D187)</f>
        <v/>
      </c>
      <c r="C187" s="40" t="str">
        <f aca="false">IF(CALCULO!E187="","",CALCULO!E187)</f>
        <v/>
      </c>
      <c r="D187" s="40" t="str">
        <f aca="false">IF(CALCULO!F187="","",CALCULO!F187)</f>
        <v/>
      </c>
      <c r="E187" s="40" t="str">
        <f aca="false">IF(CALCULO!G187="","",CALCULO!G187)</f>
        <v/>
      </c>
      <c r="F187" s="41"/>
      <c r="G187" s="42" t="str">
        <f aca="false">IF(F187="","",ROUND((F187-B187)/B187,4))</f>
        <v/>
      </c>
      <c r="H187" s="42" t="str">
        <f aca="false">IF(F187="","",1-IMPOSTOS-CALCULO!B187/F187)</f>
        <v/>
      </c>
      <c r="I187" s="42" t="str">
        <f aca="false">IF(F187="","",H187-CALCULO!C187)</f>
        <v/>
      </c>
      <c r="J187" s="40" t="str">
        <f aca="false">IF(F187="","",ROUND(CALCULO!B187/(1-IMPOSTOS-H187-TAXA_3X),2))</f>
        <v/>
      </c>
      <c r="K187" s="40" t="str">
        <f aca="false">IF(F187="","",ROUND(CALCULO!B187/(1-IMPOSTOS-H187-TAXA_6X),2))</f>
        <v/>
      </c>
      <c r="L187" s="40" t="str">
        <f aca="false">IF(F187="","",ROUND(CALCULO!B187/(1-IMPOSTOS-H187-TAXA_10X),2))</f>
        <v/>
      </c>
    </row>
    <row r="188" customFormat="false" ht="15" hidden="false" customHeight="true" outlineLevel="0" collapsed="false">
      <c r="A188" s="8" t="n">
        <f aca="false">CALCULO!A188</f>
        <v>0</v>
      </c>
      <c r="B188" s="40" t="str">
        <f aca="false">IF(CALCULO!D188="","",CALCULO!D188)</f>
        <v/>
      </c>
      <c r="C188" s="40" t="str">
        <f aca="false">IF(CALCULO!E188="","",CALCULO!E188)</f>
        <v/>
      </c>
      <c r="D188" s="40" t="str">
        <f aca="false">IF(CALCULO!F188="","",CALCULO!F188)</f>
        <v/>
      </c>
      <c r="E188" s="40" t="str">
        <f aca="false">IF(CALCULO!G188="","",CALCULO!G188)</f>
        <v/>
      </c>
      <c r="F188" s="41"/>
      <c r="G188" s="42" t="str">
        <f aca="false">IF(F188="","",ROUND((F188-B188)/B188,4))</f>
        <v/>
      </c>
      <c r="H188" s="42" t="str">
        <f aca="false">IF(F188="","",1-IMPOSTOS-CALCULO!B188/F188)</f>
        <v/>
      </c>
      <c r="I188" s="42" t="str">
        <f aca="false">IF(F188="","",H188-CALCULO!C188)</f>
        <v/>
      </c>
      <c r="J188" s="40" t="str">
        <f aca="false">IF(F188="","",ROUND(CALCULO!B188/(1-IMPOSTOS-H188-TAXA_3X),2))</f>
        <v/>
      </c>
      <c r="K188" s="40" t="str">
        <f aca="false">IF(F188="","",ROUND(CALCULO!B188/(1-IMPOSTOS-H188-TAXA_6X),2))</f>
        <v/>
      </c>
      <c r="L188" s="40" t="str">
        <f aca="false">IF(F188="","",ROUND(CALCULO!B188/(1-IMPOSTOS-H188-TAXA_10X),2))</f>
        <v/>
      </c>
    </row>
    <row r="189" customFormat="false" ht="15" hidden="false" customHeight="true" outlineLevel="0" collapsed="false">
      <c r="A189" s="8" t="n">
        <f aca="false">CALCULO!A189</f>
        <v>0</v>
      </c>
      <c r="B189" s="40" t="str">
        <f aca="false">IF(CALCULO!D189="","",CALCULO!D189)</f>
        <v/>
      </c>
      <c r="C189" s="40" t="str">
        <f aca="false">IF(CALCULO!E189="","",CALCULO!E189)</f>
        <v/>
      </c>
      <c r="D189" s="40" t="str">
        <f aca="false">IF(CALCULO!F189="","",CALCULO!F189)</f>
        <v/>
      </c>
      <c r="E189" s="40" t="str">
        <f aca="false">IF(CALCULO!G189="","",CALCULO!G189)</f>
        <v/>
      </c>
      <c r="F189" s="41"/>
      <c r="G189" s="42" t="str">
        <f aca="false">IF(F189="","",ROUND((F189-B189)/B189,4))</f>
        <v/>
      </c>
      <c r="H189" s="42" t="str">
        <f aca="false">IF(F189="","",1-IMPOSTOS-CALCULO!B189/F189)</f>
        <v/>
      </c>
      <c r="I189" s="42" t="str">
        <f aca="false">IF(F189="","",H189-CALCULO!C189)</f>
        <v/>
      </c>
      <c r="J189" s="40" t="str">
        <f aca="false">IF(F189="","",ROUND(CALCULO!B189/(1-IMPOSTOS-H189-TAXA_3X),2))</f>
        <v/>
      </c>
      <c r="K189" s="40" t="str">
        <f aca="false">IF(F189="","",ROUND(CALCULO!B189/(1-IMPOSTOS-H189-TAXA_6X),2))</f>
        <v/>
      </c>
      <c r="L189" s="40" t="str">
        <f aca="false">IF(F189="","",ROUND(CALCULO!B189/(1-IMPOSTOS-H189-TAXA_10X),2))</f>
        <v/>
      </c>
    </row>
    <row r="190" customFormat="false" ht="15" hidden="false" customHeight="true" outlineLevel="0" collapsed="false">
      <c r="A190" s="8" t="n">
        <f aca="false">CALCULO!A190</f>
        <v>0</v>
      </c>
      <c r="B190" s="40" t="str">
        <f aca="false">IF(CALCULO!D190="","",CALCULO!D190)</f>
        <v/>
      </c>
      <c r="C190" s="40" t="str">
        <f aca="false">IF(CALCULO!E190="","",CALCULO!E190)</f>
        <v/>
      </c>
      <c r="D190" s="40" t="str">
        <f aca="false">IF(CALCULO!F190="","",CALCULO!F190)</f>
        <v/>
      </c>
      <c r="E190" s="40" t="str">
        <f aca="false">IF(CALCULO!G190="","",CALCULO!G190)</f>
        <v/>
      </c>
      <c r="F190" s="41"/>
      <c r="G190" s="42" t="str">
        <f aca="false">IF(F190="","",ROUND((F190-B190)/B190,4))</f>
        <v/>
      </c>
      <c r="H190" s="42" t="str">
        <f aca="false">IF(F190="","",1-IMPOSTOS-CALCULO!B190/F190)</f>
        <v/>
      </c>
      <c r="I190" s="42" t="str">
        <f aca="false">IF(F190="","",H190-CALCULO!C190)</f>
        <v/>
      </c>
      <c r="J190" s="40" t="str">
        <f aca="false">IF(F190="","",ROUND(CALCULO!B190/(1-IMPOSTOS-H190-TAXA_3X),2))</f>
        <v/>
      </c>
      <c r="K190" s="40" t="str">
        <f aca="false">IF(F190="","",ROUND(CALCULO!B190/(1-IMPOSTOS-H190-TAXA_6X),2))</f>
        <v/>
      </c>
      <c r="L190" s="40" t="str">
        <f aca="false">IF(F190="","",ROUND(CALCULO!B190/(1-IMPOSTOS-H190-TAXA_10X),2))</f>
        <v/>
      </c>
    </row>
    <row r="191" customFormat="false" ht="15" hidden="false" customHeight="true" outlineLevel="0" collapsed="false">
      <c r="A191" s="8" t="n">
        <f aca="false">CALCULO!A191</f>
        <v>0</v>
      </c>
      <c r="B191" s="40" t="str">
        <f aca="false">IF(CALCULO!D191="","",CALCULO!D191)</f>
        <v/>
      </c>
      <c r="C191" s="40" t="str">
        <f aca="false">IF(CALCULO!E191="","",CALCULO!E191)</f>
        <v/>
      </c>
      <c r="D191" s="40" t="str">
        <f aca="false">IF(CALCULO!F191="","",CALCULO!F191)</f>
        <v/>
      </c>
      <c r="E191" s="40" t="str">
        <f aca="false">IF(CALCULO!G191="","",CALCULO!G191)</f>
        <v/>
      </c>
      <c r="F191" s="41"/>
      <c r="G191" s="42" t="str">
        <f aca="false">IF(F191="","",ROUND((F191-B191)/B191,4))</f>
        <v/>
      </c>
      <c r="H191" s="42" t="str">
        <f aca="false">IF(F191="","",1-IMPOSTOS-CALCULO!B191/F191)</f>
        <v/>
      </c>
      <c r="I191" s="42" t="str">
        <f aca="false">IF(F191="","",H191-CALCULO!C191)</f>
        <v/>
      </c>
      <c r="J191" s="40" t="str">
        <f aca="false">IF(F191="","",ROUND(CALCULO!B191/(1-IMPOSTOS-H191-TAXA_3X),2))</f>
        <v/>
      </c>
      <c r="K191" s="40" t="str">
        <f aca="false">IF(F191="","",ROUND(CALCULO!B191/(1-IMPOSTOS-H191-TAXA_6X),2))</f>
        <v/>
      </c>
      <c r="L191" s="40" t="str">
        <f aca="false">IF(F191="","",ROUND(CALCULO!B191/(1-IMPOSTOS-H191-TAXA_10X),2))</f>
        <v/>
      </c>
    </row>
    <row r="192" customFormat="false" ht="15" hidden="false" customHeight="true" outlineLevel="0" collapsed="false">
      <c r="A192" s="8" t="n">
        <f aca="false">CALCULO!A192</f>
        <v>0</v>
      </c>
      <c r="B192" s="40" t="str">
        <f aca="false">IF(CALCULO!D192="","",CALCULO!D192)</f>
        <v/>
      </c>
      <c r="C192" s="40" t="str">
        <f aca="false">IF(CALCULO!E192="","",CALCULO!E192)</f>
        <v/>
      </c>
      <c r="D192" s="40" t="str">
        <f aca="false">IF(CALCULO!F192="","",CALCULO!F192)</f>
        <v/>
      </c>
      <c r="E192" s="40" t="str">
        <f aca="false">IF(CALCULO!G192="","",CALCULO!G192)</f>
        <v/>
      </c>
      <c r="F192" s="41"/>
      <c r="G192" s="42" t="str">
        <f aca="false">IF(F192="","",ROUND((F192-B192)/B192,4))</f>
        <v/>
      </c>
      <c r="H192" s="42" t="str">
        <f aca="false">IF(F192="","",1-IMPOSTOS-CALCULO!B192/F192)</f>
        <v/>
      </c>
      <c r="I192" s="42" t="str">
        <f aca="false">IF(F192="","",H192-CALCULO!C192)</f>
        <v/>
      </c>
      <c r="J192" s="40" t="str">
        <f aca="false">IF(F192="","",ROUND(CALCULO!B192/(1-IMPOSTOS-H192-TAXA_3X),2))</f>
        <v/>
      </c>
      <c r="K192" s="40" t="str">
        <f aca="false">IF(F192="","",ROUND(CALCULO!B192/(1-IMPOSTOS-H192-TAXA_6X),2))</f>
        <v/>
      </c>
      <c r="L192" s="40" t="str">
        <f aca="false">IF(F192="","",ROUND(CALCULO!B192/(1-IMPOSTOS-H192-TAXA_10X),2))</f>
        <v/>
      </c>
    </row>
    <row r="193" customFormat="false" ht="15" hidden="false" customHeight="true" outlineLevel="0" collapsed="false">
      <c r="A193" s="8" t="n">
        <f aca="false">CALCULO!A193</f>
        <v>0</v>
      </c>
      <c r="B193" s="40" t="str">
        <f aca="false">IF(CALCULO!D193="","",CALCULO!D193)</f>
        <v/>
      </c>
      <c r="C193" s="40" t="str">
        <f aca="false">IF(CALCULO!E193="","",CALCULO!E193)</f>
        <v/>
      </c>
      <c r="D193" s="40" t="str">
        <f aca="false">IF(CALCULO!F193="","",CALCULO!F193)</f>
        <v/>
      </c>
      <c r="E193" s="40" t="str">
        <f aca="false">IF(CALCULO!G193="","",CALCULO!G193)</f>
        <v/>
      </c>
      <c r="F193" s="41"/>
      <c r="G193" s="42" t="str">
        <f aca="false">IF(F193="","",ROUND((F193-B193)/B193,4))</f>
        <v/>
      </c>
      <c r="H193" s="42" t="str">
        <f aca="false">IF(F193="","",1-IMPOSTOS-CALCULO!B193/F193)</f>
        <v/>
      </c>
      <c r="I193" s="42" t="str">
        <f aca="false">IF(F193="","",H193-CALCULO!C193)</f>
        <v/>
      </c>
      <c r="J193" s="40" t="str">
        <f aca="false">IF(F193="","",ROUND(CALCULO!B193/(1-IMPOSTOS-H193-TAXA_3X),2))</f>
        <v/>
      </c>
      <c r="K193" s="40" t="str">
        <f aca="false">IF(F193="","",ROUND(CALCULO!B193/(1-IMPOSTOS-H193-TAXA_6X),2))</f>
        <v/>
      </c>
      <c r="L193" s="40" t="str">
        <f aca="false">IF(F193="","",ROUND(CALCULO!B193/(1-IMPOSTOS-H193-TAXA_10X),2))</f>
        <v/>
      </c>
    </row>
    <row r="194" customFormat="false" ht="15" hidden="false" customHeight="true" outlineLevel="0" collapsed="false">
      <c r="A194" s="8" t="n">
        <f aca="false">CALCULO!A194</f>
        <v>0</v>
      </c>
      <c r="B194" s="40" t="str">
        <f aca="false">IF(CALCULO!D194="","",CALCULO!D194)</f>
        <v/>
      </c>
      <c r="C194" s="40" t="str">
        <f aca="false">IF(CALCULO!E194="","",CALCULO!E194)</f>
        <v/>
      </c>
      <c r="D194" s="40" t="str">
        <f aca="false">IF(CALCULO!F194="","",CALCULO!F194)</f>
        <v/>
      </c>
      <c r="E194" s="40" t="str">
        <f aca="false">IF(CALCULO!G194="","",CALCULO!G194)</f>
        <v/>
      </c>
      <c r="F194" s="41"/>
      <c r="G194" s="42" t="str">
        <f aca="false">IF(F194="","",ROUND((F194-B194)/B194,4))</f>
        <v/>
      </c>
      <c r="H194" s="42" t="str">
        <f aca="false">IF(F194="","",1-IMPOSTOS-CALCULO!B194/F194)</f>
        <v/>
      </c>
      <c r="I194" s="42" t="str">
        <f aca="false">IF(F194="","",H194-CALCULO!C194)</f>
        <v/>
      </c>
      <c r="J194" s="40" t="str">
        <f aca="false">IF(F194="","",ROUND(CALCULO!B194/(1-IMPOSTOS-H194-TAXA_3X),2))</f>
        <v/>
      </c>
      <c r="K194" s="40" t="str">
        <f aca="false">IF(F194="","",ROUND(CALCULO!B194/(1-IMPOSTOS-H194-TAXA_6X),2))</f>
        <v/>
      </c>
      <c r="L194" s="40" t="str">
        <f aca="false">IF(F194="","",ROUND(CALCULO!B194/(1-IMPOSTOS-H194-TAXA_10X),2))</f>
        <v/>
      </c>
    </row>
    <row r="195" customFormat="false" ht="15" hidden="false" customHeight="true" outlineLevel="0" collapsed="false">
      <c r="A195" s="8" t="n">
        <f aca="false">CALCULO!A195</f>
        <v>0</v>
      </c>
      <c r="B195" s="40" t="str">
        <f aca="false">IF(CALCULO!D195="","",CALCULO!D195)</f>
        <v/>
      </c>
      <c r="C195" s="40" t="str">
        <f aca="false">IF(CALCULO!E195="","",CALCULO!E195)</f>
        <v/>
      </c>
      <c r="D195" s="40" t="str">
        <f aca="false">IF(CALCULO!F195="","",CALCULO!F195)</f>
        <v/>
      </c>
      <c r="E195" s="40" t="str">
        <f aca="false">IF(CALCULO!G195="","",CALCULO!G195)</f>
        <v/>
      </c>
      <c r="F195" s="41"/>
      <c r="G195" s="42" t="str">
        <f aca="false">IF(F195="","",ROUND((F195-B195)/B195,4))</f>
        <v/>
      </c>
      <c r="H195" s="42" t="str">
        <f aca="false">IF(F195="","",1-IMPOSTOS-CALCULO!B195/F195)</f>
        <v/>
      </c>
      <c r="I195" s="42" t="str">
        <f aca="false">IF(F195="","",H195-CALCULO!C195)</f>
        <v/>
      </c>
      <c r="J195" s="40" t="str">
        <f aca="false">IF(F195="","",ROUND(CALCULO!B195/(1-IMPOSTOS-H195-TAXA_3X),2))</f>
        <v/>
      </c>
      <c r="K195" s="40" t="str">
        <f aca="false">IF(F195="","",ROUND(CALCULO!B195/(1-IMPOSTOS-H195-TAXA_6X),2))</f>
        <v/>
      </c>
      <c r="L195" s="40" t="str">
        <f aca="false">IF(F195="","",ROUND(CALCULO!B195/(1-IMPOSTOS-H195-TAXA_10X),2))</f>
        <v/>
      </c>
    </row>
    <row r="196" customFormat="false" ht="15" hidden="false" customHeight="true" outlineLevel="0" collapsed="false">
      <c r="A196" s="8" t="n">
        <f aca="false">CALCULO!A196</f>
        <v>0</v>
      </c>
      <c r="B196" s="40" t="str">
        <f aca="false">IF(CALCULO!D196="","",CALCULO!D196)</f>
        <v/>
      </c>
      <c r="C196" s="40" t="str">
        <f aca="false">IF(CALCULO!E196="","",CALCULO!E196)</f>
        <v/>
      </c>
      <c r="D196" s="40" t="str">
        <f aca="false">IF(CALCULO!F196="","",CALCULO!F196)</f>
        <v/>
      </c>
      <c r="E196" s="40" t="str">
        <f aca="false">IF(CALCULO!G196="","",CALCULO!G196)</f>
        <v/>
      </c>
      <c r="F196" s="41"/>
      <c r="G196" s="42" t="str">
        <f aca="false">IF(F196="","",ROUND((F196-B196)/B196,4))</f>
        <v/>
      </c>
      <c r="H196" s="42" t="str">
        <f aca="false">IF(F196="","",1-IMPOSTOS-CALCULO!B196/F196)</f>
        <v/>
      </c>
      <c r="I196" s="42" t="str">
        <f aca="false">IF(F196="","",H196-CALCULO!C196)</f>
        <v/>
      </c>
      <c r="J196" s="40" t="str">
        <f aca="false">IF(F196="","",ROUND(CALCULO!B196/(1-IMPOSTOS-H196-TAXA_3X),2))</f>
        <v/>
      </c>
      <c r="K196" s="40" t="str">
        <f aca="false">IF(F196="","",ROUND(CALCULO!B196/(1-IMPOSTOS-H196-TAXA_6X),2))</f>
        <v/>
      </c>
      <c r="L196" s="40" t="str">
        <f aca="false">IF(F196="","",ROUND(CALCULO!B196/(1-IMPOSTOS-H196-TAXA_10X),2))</f>
        <v/>
      </c>
    </row>
    <row r="197" customFormat="false" ht="15" hidden="false" customHeight="true" outlineLevel="0" collapsed="false">
      <c r="A197" s="8" t="n">
        <f aca="false">CALCULO!A197</f>
        <v>0</v>
      </c>
      <c r="B197" s="40" t="str">
        <f aca="false">IF(CALCULO!D197="","",CALCULO!D197)</f>
        <v/>
      </c>
      <c r="C197" s="40" t="str">
        <f aca="false">IF(CALCULO!E197="","",CALCULO!E197)</f>
        <v/>
      </c>
      <c r="D197" s="40" t="str">
        <f aca="false">IF(CALCULO!F197="","",CALCULO!F197)</f>
        <v/>
      </c>
      <c r="E197" s="40" t="str">
        <f aca="false">IF(CALCULO!G197="","",CALCULO!G197)</f>
        <v/>
      </c>
      <c r="F197" s="41"/>
      <c r="G197" s="42" t="str">
        <f aca="false">IF(F197="","",ROUND((F197-B197)/B197,4))</f>
        <v/>
      </c>
      <c r="H197" s="42" t="str">
        <f aca="false">IF(F197="","",1-IMPOSTOS-CALCULO!B197/F197)</f>
        <v/>
      </c>
      <c r="I197" s="42" t="str">
        <f aca="false">IF(F197="","",H197-CALCULO!C197)</f>
        <v/>
      </c>
      <c r="J197" s="40" t="str">
        <f aca="false">IF(F197="","",ROUND(CALCULO!B197/(1-IMPOSTOS-H197-TAXA_3X),2))</f>
        <v/>
      </c>
      <c r="K197" s="40" t="str">
        <f aca="false">IF(F197="","",ROUND(CALCULO!B197/(1-IMPOSTOS-H197-TAXA_6X),2))</f>
        <v/>
      </c>
      <c r="L197" s="40" t="str">
        <f aca="false">IF(F197="","",ROUND(CALCULO!B197/(1-IMPOSTOS-H197-TAXA_10X),2))</f>
        <v/>
      </c>
    </row>
    <row r="198" customFormat="false" ht="15" hidden="false" customHeight="true" outlineLevel="0" collapsed="false">
      <c r="A198" s="8" t="n">
        <f aca="false">CALCULO!A198</f>
        <v>0</v>
      </c>
      <c r="B198" s="40" t="str">
        <f aca="false">IF(CALCULO!D198="","",CALCULO!D198)</f>
        <v/>
      </c>
      <c r="C198" s="40" t="str">
        <f aca="false">IF(CALCULO!E198="","",CALCULO!E198)</f>
        <v/>
      </c>
      <c r="D198" s="40" t="str">
        <f aca="false">IF(CALCULO!F198="","",CALCULO!F198)</f>
        <v/>
      </c>
      <c r="E198" s="40" t="str">
        <f aca="false">IF(CALCULO!G198="","",CALCULO!G198)</f>
        <v/>
      </c>
      <c r="F198" s="41"/>
      <c r="G198" s="42" t="str">
        <f aca="false">IF(F198="","",ROUND((F198-B198)/B198,4))</f>
        <v/>
      </c>
      <c r="H198" s="42" t="str">
        <f aca="false">IF(F198="","",1-IMPOSTOS-CALCULO!B198/F198)</f>
        <v/>
      </c>
      <c r="I198" s="42" t="str">
        <f aca="false">IF(F198="","",H198-CALCULO!C198)</f>
        <v/>
      </c>
      <c r="J198" s="40" t="str">
        <f aca="false">IF(F198="","",ROUND(CALCULO!B198/(1-IMPOSTOS-H198-TAXA_3X),2))</f>
        <v/>
      </c>
      <c r="K198" s="40" t="str">
        <f aca="false">IF(F198="","",ROUND(CALCULO!B198/(1-IMPOSTOS-H198-TAXA_6X),2))</f>
        <v/>
      </c>
      <c r="L198" s="40" t="str">
        <f aca="false">IF(F198="","",ROUND(CALCULO!B198/(1-IMPOSTOS-H198-TAXA_10X),2))</f>
        <v/>
      </c>
    </row>
    <row r="199" customFormat="false" ht="15" hidden="false" customHeight="true" outlineLevel="0" collapsed="false">
      <c r="A199" s="8" t="n">
        <f aca="false">CALCULO!A199</f>
        <v>0</v>
      </c>
      <c r="B199" s="40" t="str">
        <f aca="false">IF(CALCULO!D199="","",CALCULO!D199)</f>
        <v/>
      </c>
      <c r="C199" s="40" t="str">
        <f aca="false">IF(CALCULO!E199="","",CALCULO!E199)</f>
        <v/>
      </c>
      <c r="D199" s="40" t="str">
        <f aca="false">IF(CALCULO!F199="","",CALCULO!F199)</f>
        <v/>
      </c>
      <c r="E199" s="40" t="str">
        <f aca="false">IF(CALCULO!G199="","",CALCULO!G199)</f>
        <v/>
      </c>
      <c r="F199" s="41"/>
      <c r="G199" s="42" t="str">
        <f aca="false">IF(F199="","",ROUND((F199-B199)/B199,4))</f>
        <v/>
      </c>
      <c r="H199" s="42" t="str">
        <f aca="false">IF(F199="","",1-IMPOSTOS-CALCULO!B199/F199)</f>
        <v/>
      </c>
      <c r="I199" s="42" t="str">
        <f aca="false">IF(F199="","",H199-CALCULO!C199)</f>
        <v/>
      </c>
      <c r="J199" s="40" t="str">
        <f aca="false">IF(F199="","",ROUND(CALCULO!B199/(1-IMPOSTOS-H199-TAXA_3X),2))</f>
        <v/>
      </c>
      <c r="K199" s="40" t="str">
        <f aca="false">IF(F199="","",ROUND(CALCULO!B199/(1-IMPOSTOS-H199-TAXA_6X),2))</f>
        <v/>
      </c>
      <c r="L199" s="40" t="str">
        <f aca="false">IF(F199="","",ROUND(CALCULO!B199/(1-IMPOSTOS-H199-TAXA_10X),2))</f>
        <v/>
      </c>
    </row>
    <row r="200" customFormat="false" ht="15" hidden="false" customHeight="true" outlineLevel="0" collapsed="false">
      <c r="A200" s="8" t="n">
        <f aca="false">CALCULO!A200</f>
        <v>0</v>
      </c>
      <c r="B200" s="40" t="str">
        <f aca="false">IF(CALCULO!D200="","",CALCULO!D200)</f>
        <v/>
      </c>
      <c r="C200" s="40" t="str">
        <f aca="false">IF(CALCULO!E200="","",CALCULO!E200)</f>
        <v/>
      </c>
      <c r="D200" s="40" t="str">
        <f aca="false">IF(CALCULO!F200="","",CALCULO!F200)</f>
        <v/>
      </c>
      <c r="E200" s="40" t="str">
        <f aca="false">IF(CALCULO!G200="","",CALCULO!G200)</f>
        <v/>
      </c>
      <c r="F200" s="41"/>
      <c r="G200" s="42" t="str">
        <f aca="false">IF(F200="","",ROUND((F200-B200)/B200,4))</f>
        <v/>
      </c>
      <c r="H200" s="42" t="str">
        <f aca="false">IF(F200="","",1-IMPOSTOS-CALCULO!B200/F200)</f>
        <v/>
      </c>
      <c r="I200" s="42" t="str">
        <f aca="false">IF(F200="","",H200-CALCULO!C200)</f>
        <v/>
      </c>
      <c r="J200" s="40" t="str">
        <f aca="false">IF(F200="","",ROUND(CALCULO!B200/(1-IMPOSTOS-H200-TAXA_3X),2))</f>
        <v/>
      </c>
      <c r="K200" s="40" t="str">
        <f aca="false">IF(F200="","",ROUND(CALCULO!B200/(1-IMPOSTOS-H200-TAXA_6X),2))</f>
        <v/>
      </c>
      <c r="L200" s="40" t="str">
        <f aca="false">IF(F200="","",ROUND(CALCULO!B200/(1-IMPOSTOS-H200-TAXA_10X),2))</f>
        <v/>
      </c>
    </row>
    <row r="201" customFormat="false" ht="15" hidden="false" customHeight="true" outlineLevel="0" collapsed="false">
      <c r="A201" s="8" t="n">
        <f aca="false">CALCULO!A201</f>
        <v>0</v>
      </c>
      <c r="B201" s="40" t="str">
        <f aca="false">IF(CALCULO!D201="","",CALCULO!D201)</f>
        <v/>
      </c>
      <c r="C201" s="40" t="str">
        <f aca="false">IF(CALCULO!E201="","",CALCULO!E201)</f>
        <v/>
      </c>
      <c r="D201" s="40" t="str">
        <f aca="false">IF(CALCULO!F201="","",CALCULO!F201)</f>
        <v/>
      </c>
      <c r="E201" s="40" t="str">
        <f aca="false">IF(CALCULO!G201="","",CALCULO!G201)</f>
        <v/>
      </c>
      <c r="F201" s="41"/>
      <c r="G201" s="42" t="str">
        <f aca="false">IF(F201="","",ROUND((F201-B201)/B201,4))</f>
        <v/>
      </c>
      <c r="H201" s="42" t="str">
        <f aca="false">IF(F201="","",1-IMPOSTOS-CALCULO!B201/F201)</f>
        <v/>
      </c>
      <c r="I201" s="42" t="str">
        <f aca="false">IF(F201="","",H201-CALCULO!C201)</f>
        <v/>
      </c>
      <c r="J201" s="40" t="str">
        <f aca="false">IF(F201="","",ROUND(CALCULO!B201/(1-IMPOSTOS-H201-TAXA_3X),2))</f>
        <v/>
      </c>
      <c r="K201" s="40" t="str">
        <f aca="false">IF(F201="","",ROUND(CALCULO!B201/(1-IMPOSTOS-H201-TAXA_6X),2))</f>
        <v/>
      </c>
      <c r="L201" s="40" t="str">
        <f aca="false">IF(F201="","",ROUND(CALCULO!B201/(1-IMPOSTOS-H201-TAXA_10X),2))</f>
        <v/>
      </c>
    </row>
    <row r="202" customFormat="false" ht="15" hidden="false" customHeight="true" outlineLevel="0" collapsed="false">
      <c r="A202" s="8" t="n">
        <f aca="false">CALCULO!A202</f>
        <v>0</v>
      </c>
      <c r="B202" s="40" t="str">
        <f aca="false">IF(CALCULO!D202="","",CALCULO!D202)</f>
        <v/>
      </c>
      <c r="C202" s="40" t="str">
        <f aca="false">IF(CALCULO!E202="","",CALCULO!E202)</f>
        <v/>
      </c>
      <c r="D202" s="40" t="str">
        <f aca="false">IF(CALCULO!F202="","",CALCULO!F202)</f>
        <v/>
      </c>
      <c r="E202" s="40" t="str">
        <f aca="false">IF(CALCULO!G202="","",CALCULO!G202)</f>
        <v/>
      </c>
      <c r="F202" s="41"/>
      <c r="G202" s="42" t="str">
        <f aca="false">IF(F202="","",ROUND((F202-B202)/B202,4))</f>
        <v/>
      </c>
      <c r="H202" s="42" t="str">
        <f aca="false">IF(F202="","",1-IMPOSTOS-CALCULO!B202/F202)</f>
        <v/>
      </c>
      <c r="I202" s="42" t="str">
        <f aca="false">IF(F202="","",H202-CALCULO!C202)</f>
        <v/>
      </c>
      <c r="J202" s="40" t="str">
        <f aca="false">IF(F202="","",ROUND(CALCULO!B202/(1-IMPOSTOS-H202-TAXA_3X),2))</f>
        <v/>
      </c>
      <c r="K202" s="40" t="str">
        <f aca="false">IF(F202="","",ROUND(CALCULO!B202/(1-IMPOSTOS-H202-TAXA_6X),2))</f>
        <v/>
      </c>
      <c r="L202" s="40" t="str">
        <f aca="false">IF(F202="","",ROUND(CALCULO!B202/(1-IMPOSTOS-H202-TAXA_10X),2))</f>
        <v/>
      </c>
    </row>
    <row r="203" customFormat="false" ht="15" hidden="false" customHeight="true" outlineLevel="0" collapsed="false">
      <c r="A203" s="8" t="n">
        <f aca="false">CALCULO!A203</f>
        <v>0</v>
      </c>
      <c r="B203" s="40" t="str">
        <f aca="false">IF(CALCULO!D203="","",CALCULO!D203)</f>
        <v/>
      </c>
      <c r="C203" s="40" t="str">
        <f aca="false">IF(CALCULO!E203="","",CALCULO!E203)</f>
        <v/>
      </c>
      <c r="D203" s="40" t="str">
        <f aca="false">IF(CALCULO!F203="","",CALCULO!F203)</f>
        <v/>
      </c>
      <c r="E203" s="40" t="str">
        <f aca="false">IF(CALCULO!G203="","",CALCULO!G203)</f>
        <v/>
      </c>
      <c r="F203" s="41"/>
      <c r="G203" s="42" t="str">
        <f aca="false">IF(F203="","",ROUND((F203-B203)/B203,4))</f>
        <v/>
      </c>
      <c r="H203" s="42" t="str">
        <f aca="false">IF(F203="","",1-IMPOSTOS-CALCULO!B203/F203)</f>
        <v/>
      </c>
      <c r="I203" s="42" t="str">
        <f aca="false">IF(F203="","",H203-CALCULO!C203)</f>
        <v/>
      </c>
      <c r="J203" s="40" t="str">
        <f aca="false">IF(F203="","",ROUND(CALCULO!B203/(1-IMPOSTOS-H203-TAXA_3X),2))</f>
        <v/>
      </c>
      <c r="K203" s="40" t="str">
        <f aca="false">IF(F203="","",ROUND(CALCULO!B203/(1-IMPOSTOS-H203-TAXA_6X),2))</f>
        <v/>
      </c>
      <c r="L203" s="40" t="str">
        <f aca="false">IF(F203="","",ROUND(CALCULO!B203/(1-IMPOSTOS-H203-TAXA_10X),2))</f>
        <v/>
      </c>
    </row>
    <row r="204" customFormat="false" ht="15" hidden="false" customHeight="true" outlineLevel="0" collapsed="false">
      <c r="A204" s="8" t="n">
        <f aca="false">CALCULO!A204</f>
        <v>0</v>
      </c>
      <c r="B204" s="40" t="str">
        <f aca="false">IF(CALCULO!D204="","",CALCULO!D204)</f>
        <v/>
      </c>
      <c r="C204" s="40" t="str">
        <f aca="false">IF(CALCULO!E204="","",CALCULO!E204)</f>
        <v/>
      </c>
      <c r="D204" s="40" t="str">
        <f aca="false">IF(CALCULO!F204="","",CALCULO!F204)</f>
        <v/>
      </c>
      <c r="E204" s="40" t="str">
        <f aca="false">IF(CALCULO!G204="","",CALCULO!G204)</f>
        <v/>
      </c>
      <c r="F204" s="41"/>
      <c r="G204" s="42" t="str">
        <f aca="false">IF(F204="","",ROUND((F204-B204)/B204,4))</f>
        <v/>
      </c>
      <c r="H204" s="42" t="str">
        <f aca="false">IF(F204="","",1-IMPOSTOS-CALCULO!B204/F204)</f>
        <v/>
      </c>
      <c r="I204" s="42" t="str">
        <f aca="false">IF(F204="","",H204-CALCULO!C204)</f>
        <v/>
      </c>
      <c r="J204" s="40" t="str">
        <f aca="false">IF(F204="","",ROUND(CALCULO!B204/(1-IMPOSTOS-H204-TAXA_3X),2))</f>
        <v/>
      </c>
      <c r="K204" s="40" t="str">
        <f aca="false">IF(F204="","",ROUND(CALCULO!B204/(1-IMPOSTOS-H204-TAXA_6X),2))</f>
        <v/>
      </c>
      <c r="L204" s="40" t="str">
        <f aca="false">IF(F204="","",ROUND(CALCULO!B204/(1-IMPOSTOS-H204-TAXA_10X),2))</f>
        <v/>
      </c>
    </row>
    <row r="205" customFormat="false" ht="15" hidden="false" customHeight="true" outlineLevel="0" collapsed="false">
      <c r="A205" s="8" t="n">
        <f aca="false">CALCULO!A205</f>
        <v>0</v>
      </c>
      <c r="B205" s="40" t="str">
        <f aca="false">IF(CALCULO!D205="","",CALCULO!D205)</f>
        <v/>
      </c>
      <c r="C205" s="40" t="str">
        <f aca="false">IF(CALCULO!E205="","",CALCULO!E205)</f>
        <v/>
      </c>
      <c r="D205" s="40" t="str">
        <f aca="false">IF(CALCULO!F205="","",CALCULO!F205)</f>
        <v/>
      </c>
      <c r="E205" s="40" t="str">
        <f aca="false">IF(CALCULO!G205="","",CALCULO!G205)</f>
        <v/>
      </c>
      <c r="F205" s="41"/>
      <c r="G205" s="42" t="str">
        <f aca="false">IF(F205="","",ROUND((F205-B205)/B205,4))</f>
        <v/>
      </c>
      <c r="H205" s="42" t="str">
        <f aca="false">IF(F205="","",1-IMPOSTOS-CALCULO!B205/F205)</f>
        <v/>
      </c>
      <c r="I205" s="42" t="str">
        <f aca="false">IF(F205="","",H205-CALCULO!C205)</f>
        <v/>
      </c>
      <c r="J205" s="40" t="str">
        <f aca="false">IF(F205="","",ROUND(CALCULO!B205/(1-IMPOSTOS-H205-TAXA_3X),2))</f>
        <v/>
      </c>
      <c r="K205" s="40" t="str">
        <f aca="false">IF(F205="","",ROUND(CALCULO!B205/(1-IMPOSTOS-H205-TAXA_6X),2))</f>
        <v/>
      </c>
      <c r="L205" s="40" t="str">
        <f aca="false">IF(F205="","",ROUND(CALCULO!B205/(1-IMPOSTOS-H205-TAXA_10X),2))</f>
        <v/>
      </c>
    </row>
    <row r="206" customFormat="false" ht="15" hidden="false" customHeight="true" outlineLevel="0" collapsed="false">
      <c r="A206" s="8" t="n">
        <f aca="false">CALCULO!A206</f>
        <v>0</v>
      </c>
      <c r="B206" s="40" t="str">
        <f aca="false">IF(CALCULO!D206="","",CALCULO!D206)</f>
        <v/>
      </c>
      <c r="C206" s="40" t="str">
        <f aca="false">IF(CALCULO!E206="","",CALCULO!E206)</f>
        <v/>
      </c>
      <c r="D206" s="40" t="str">
        <f aca="false">IF(CALCULO!F206="","",CALCULO!F206)</f>
        <v/>
      </c>
      <c r="E206" s="40" t="str">
        <f aca="false">IF(CALCULO!G206="","",CALCULO!G206)</f>
        <v/>
      </c>
      <c r="F206" s="41"/>
      <c r="G206" s="42" t="str">
        <f aca="false">IF(F206="","",ROUND((F206-B206)/B206,4))</f>
        <v/>
      </c>
      <c r="H206" s="42" t="str">
        <f aca="false">IF(F206="","",1-IMPOSTOS-CALCULO!B206/F206)</f>
        <v/>
      </c>
      <c r="I206" s="42" t="str">
        <f aca="false">IF(F206="","",H206-CALCULO!C206)</f>
        <v/>
      </c>
      <c r="J206" s="40" t="str">
        <f aca="false">IF(F206="","",ROUND(CALCULO!B206/(1-IMPOSTOS-H206-TAXA_3X),2))</f>
        <v/>
      </c>
      <c r="K206" s="40" t="str">
        <f aca="false">IF(F206="","",ROUND(CALCULO!B206/(1-IMPOSTOS-H206-TAXA_6X),2))</f>
        <v/>
      </c>
      <c r="L206" s="40" t="str">
        <f aca="false">IF(F206="","",ROUND(CALCULO!B206/(1-IMPOSTOS-H206-TAXA_10X),2))</f>
        <v/>
      </c>
    </row>
    <row r="207" customFormat="false" ht="15" hidden="false" customHeight="true" outlineLevel="0" collapsed="false">
      <c r="A207" s="8" t="n">
        <f aca="false">CALCULO!A207</f>
        <v>0</v>
      </c>
      <c r="B207" s="40" t="str">
        <f aca="false">IF(CALCULO!D207="","",CALCULO!D207)</f>
        <v/>
      </c>
      <c r="C207" s="40" t="str">
        <f aca="false">IF(CALCULO!E207="","",CALCULO!E207)</f>
        <v/>
      </c>
      <c r="D207" s="40" t="str">
        <f aca="false">IF(CALCULO!F207="","",CALCULO!F207)</f>
        <v/>
      </c>
      <c r="E207" s="40" t="str">
        <f aca="false">IF(CALCULO!G207="","",CALCULO!G207)</f>
        <v/>
      </c>
      <c r="F207" s="41"/>
      <c r="G207" s="42" t="str">
        <f aca="false">IF(F207="","",ROUND((F207-B207)/B207,4))</f>
        <v/>
      </c>
      <c r="H207" s="42" t="str">
        <f aca="false">IF(F207="","",1-IMPOSTOS-CALCULO!B207/F207)</f>
        <v/>
      </c>
      <c r="I207" s="42" t="str">
        <f aca="false">IF(F207="","",H207-CALCULO!C207)</f>
        <v/>
      </c>
      <c r="J207" s="40" t="str">
        <f aca="false">IF(F207="","",ROUND(CALCULO!B207/(1-IMPOSTOS-H207-TAXA_3X),2))</f>
        <v/>
      </c>
      <c r="K207" s="40" t="str">
        <f aca="false">IF(F207="","",ROUND(CALCULO!B207/(1-IMPOSTOS-H207-TAXA_6X),2))</f>
        <v/>
      </c>
      <c r="L207" s="40" t="str">
        <f aca="false">IF(F207="","",ROUND(CALCULO!B207/(1-IMPOSTOS-H207-TAXA_10X),2))</f>
        <v/>
      </c>
    </row>
    <row r="208" customFormat="false" ht="15" hidden="false" customHeight="true" outlineLevel="0" collapsed="false">
      <c r="A208" s="8" t="n">
        <f aca="false">CALCULO!A208</f>
        <v>0</v>
      </c>
      <c r="B208" s="40" t="str">
        <f aca="false">IF(CALCULO!D208="","",CALCULO!D208)</f>
        <v/>
      </c>
      <c r="C208" s="40" t="str">
        <f aca="false">IF(CALCULO!E208="","",CALCULO!E208)</f>
        <v/>
      </c>
      <c r="D208" s="40" t="str">
        <f aca="false">IF(CALCULO!F208="","",CALCULO!F208)</f>
        <v/>
      </c>
      <c r="E208" s="40" t="str">
        <f aca="false">IF(CALCULO!G208="","",CALCULO!G208)</f>
        <v/>
      </c>
      <c r="F208" s="41"/>
      <c r="G208" s="42" t="str">
        <f aca="false">IF(F208="","",ROUND((F208-B208)/B208,4))</f>
        <v/>
      </c>
      <c r="H208" s="42" t="str">
        <f aca="false">IF(F208="","",1-IMPOSTOS-CALCULO!B208/F208)</f>
        <v/>
      </c>
      <c r="I208" s="42" t="str">
        <f aca="false">IF(F208="","",H208-CALCULO!C208)</f>
        <v/>
      </c>
      <c r="J208" s="40" t="str">
        <f aca="false">IF(F208="","",ROUND(CALCULO!B208/(1-IMPOSTOS-H208-TAXA_3X),2))</f>
        <v/>
      </c>
      <c r="K208" s="40" t="str">
        <f aca="false">IF(F208="","",ROUND(CALCULO!B208/(1-IMPOSTOS-H208-TAXA_6X),2))</f>
        <v/>
      </c>
      <c r="L208" s="40" t="str">
        <f aca="false">IF(F208="","",ROUND(CALCULO!B208/(1-IMPOSTOS-H208-TAXA_10X),2))</f>
        <v/>
      </c>
    </row>
    <row r="209" customFormat="false" ht="15" hidden="false" customHeight="true" outlineLevel="0" collapsed="false">
      <c r="A209" s="8" t="n">
        <f aca="false">CALCULO!A209</f>
        <v>0</v>
      </c>
      <c r="B209" s="40" t="str">
        <f aca="false">IF(CALCULO!D209="","",CALCULO!D209)</f>
        <v/>
      </c>
      <c r="C209" s="40" t="str">
        <f aca="false">IF(CALCULO!E209="","",CALCULO!E209)</f>
        <v/>
      </c>
      <c r="D209" s="40" t="str">
        <f aca="false">IF(CALCULO!F209="","",CALCULO!F209)</f>
        <v/>
      </c>
      <c r="E209" s="40" t="str">
        <f aca="false">IF(CALCULO!G209="","",CALCULO!G209)</f>
        <v/>
      </c>
      <c r="F209" s="41"/>
      <c r="G209" s="42" t="str">
        <f aca="false">IF(F209="","",ROUND((F209-B209)/B209,4))</f>
        <v/>
      </c>
      <c r="H209" s="42" t="str">
        <f aca="false">IF(F209="","",1-IMPOSTOS-CALCULO!B209/F209)</f>
        <v/>
      </c>
      <c r="I209" s="42" t="str">
        <f aca="false">IF(F209="","",H209-CALCULO!C209)</f>
        <v/>
      </c>
      <c r="J209" s="40" t="str">
        <f aca="false">IF(F209="","",ROUND(CALCULO!B209/(1-IMPOSTOS-H209-TAXA_3X),2))</f>
        <v/>
      </c>
      <c r="K209" s="40" t="str">
        <f aca="false">IF(F209="","",ROUND(CALCULO!B209/(1-IMPOSTOS-H209-TAXA_6X),2))</f>
        <v/>
      </c>
      <c r="L209" s="40" t="str">
        <f aca="false">IF(F209="","",ROUND(CALCULO!B209/(1-IMPOSTOS-H209-TAXA_10X),2))</f>
        <v/>
      </c>
    </row>
    <row r="210" customFormat="false" ht="15" hidden="false" customHeight="true" outlineLevel="0" collapsed="false">
      <c r="A210" s="8" t="n">
        <f aca="false">CALCULO!A210</f>
        <v>0</v>
      </c>
      <c r="B210" s="40" t="str">
        <f aca="false">IF(CALCULO!D210="","",CALCULO!D210)</f>
        <v/>
      </c>
      <c r="C210" s="40" t="str">
        <f aca="false">IF(CALCULO!E210="","",CALCULO!E210)</f>
        <v/>
      </c>
      <c r="D210" s="40" t="str">
        <f aca="false">IF(CALCULO!F210="","",CALCULO!F210)</f>
        <v/>
      </c>
      <c r="E210" s="40" t="str">
        <f aca="false">IF(CALCULO!G210="","",CALCULO!G210)</f>
        <v/>
      </c>
      <c r="F210" s="41"/>
      <c r="G210" s="42" t="str">
        <f aca="false">IF(F210="","",ROUND((F210-B210)/B210,4))</f>
        <v/>
      </c>
      <c r="H210" s="42" t="str">
        <f aca="false">IF(F210="","",1-IMPOSTOS-CALCULO!B210/F210)</f>
        <v/>
      </c>
      <c r="I210" s="42" t="str">
        <f aca="false">IF(F210="","",H210-CALCULO!C210)</f>
        <v/>
      </c>
      <c r="J210" s="40" t="str">
        <f aca="false">IF(F210="","",ROUND(CALCULO!B210/(1-IMPOSTOS-H210-TAXA_3X),2))</f>
        <v/>
      </c>
      <c r="K210" s="40" t="str">
        <f aca="false">IF(F210="","",ROUND(CALCULO!B210/(1-IMPOSTOS-H210-TAXA_6X),2))</f>
        <v/>
      </c>
      <c r="L210" s="40" t="str">
        <f aca="false">IF(F210="","",ROUND(CALCULO!B210/(1-IMPOSTOS-H210-TAXA_10X),2))</f>
        <v/>
      </c>
    </row>
    <row r="211" customFormat="false" ht="15" hidden="false" customHeight="true" outlineLevel="0" collapsed="false">
      <c r="A211" s="8" t="n">
        <f aca="false">CALCULO!A211</f>
        <v>0</v>
      </c>
      <c r="B211" s="40" t="str">
        <f aca="false">IF(CALCULO!D211="","",CALCULO!D211)</f>
        <v/>
      </c>
      <c r="C211" s="40" t="str">
        <f aca="false">IF(CALCULO!E211="","",CALCULO!E211)</f>
        <v/>
      </c>
      <c r="D211" s="40" t="str">
        <f aca="false">IF(CALCULO!F211="","",CALCULO!F211)</f>
        <v/>
      </c>
      <c r="E211" s="40" t="str">
        <f aca="false">IF(CALCULO!G211="","",CALCULO!G211)</f>
        <v/>
      </c>
      <c r="F211" s="41"/>
      <c r="G211" s="42" t="str">
        <f aca="false">IF(F211="","",ROUND((F211-B211)/B211,4))</f>
        <v/>
      </c>
      <c r="H211" s="42" t="str">
        <f aca="false">IF(F211="","",1-IMPOSTOS-CALCULO!B211/F211)</f>
        <v/>
      </c>
      <c r="I211" s="42" t="str">
        <f aca="false">IF(F211="","",H211-CALCULO!C211)</f>
        <v/>
      </c>
      <c r="J211" s="40" t="str">
        <f aca="false">IF(F211="","",ROUND(CALCULO!B211/(1-IMPOSTOS-H211-TAXA_3X),2))</f>
        <v/>
      </c>
      <c r="K211" s="40" t="str">
        <f aca="false">IF(F211="","",ROUND(CALCULO!B211/(1-IMPOSTOS-H211-TAXA_6X),2))</f>
        <v/>
      </c>
      <c r="L211" s="40" t="str">
        <f aca="false">IF(F211="","",ROUND(CALCULO!B211/(1-IMPOSTOS-H211-TAXA_10X),2))</f>
        <v/>
      </c>
    </row>
    <row r="212" customFormat="false" ht="15" hidden="false" customHeight="true" outlineLevel="0" collapsed="false">
      <c r="A212" s="8" t="n">
        <f aca="false">CALCULO!A212</f>
        <v>0</v>
      </c>
      <c r="B212" s="40" t="str">
        <f aca="false">IF(CALCULO!D212="","",CALCULO!D212)</f>
        <v/>
      </c>
      <c r="C212" s="40" t="str">
        <f aca="false">IF(CALCULO!E212="","",CALCULO!E212)</f>
        <v/>
      </c>
      <c r="D212" s="40" t="str">
        <f aca="false">IF(CALCULO!F212="","",CALCULO!F212)</f>
        <v/>
      </c>
      <c r="E212" s="40" t="str">
        <f aca="false">IF(CALCULO!G212="","",CALCULO!G212)</f>
        <v/>
      </c>
      <c r="F212" s="41"/>
      <c r="G212" s="42" t="str">
        <f aca="false">IF(F212="","",ROUND((F212-B212)/B212,4))</f>
        <v/>
      </c>
      <c r="H212" s="42" t="str">
        <f aca="false">IF(F212="","",1-IMPOSTOS-CALCULO!B212/F212)</f>
        <v/>
      </c>
      <c r="I212" s="42" t="str">
        <f aca="false">IF(F212="","",H212-CALCULO!C212)</f>
        <v/>
      </c>
      <c r="J212" s="40" t="str">
        <f aca="false">IF(F212="","",ROUND(CALCULO!B212/(1-IMPOSTOS-H212-TAXA_3X),2))</f>
        <v/>
      </c>
      <c r="K212" s="40" t="str">
        <f aca="false">IF(F212="","",ROUND(CALCULO!B212/(1-IMPOSTOS-H212-TAXA_6X),2))</f>
        <v/>
      </c>
      <c r="L212" s="40" t="str">
        <f aca="false">IF(F212="","",ROUND(CALCULO!B212/(1-IMPOSTOS-H212-TAXA_10X),2))</f>
        <v/>
      </c>
    </row>
    <row r="213" customFormat="false" ht="15" hidden="false" customHeight="true" outlineLevel="0" collapsed="false">
      <c r="A213" s="8" t="n">
        <f aca="false">CALCULO!A213</f>
        <v>0</v>
      </c>
      <c r="B213" s="40" t="str">
        <f aca="false">IF(CALCULO!D213="","",CALCULO!D213)</f>
        <v/>
      </c>
      <c r="C213" s="40" t="str">
        <f aca="false">IF(CALCULO!E213="","",CALCULO!E213)</f>
        <v/>
      </c>
      <c r="D213" s="40" t="str">
        <f aca="false">IF(CALCULO!F213="","",CALCULO!F213)</f>
        <v/>
      </c>
      <c r="E213" s="40" t="str">
        <f aca="false">IF(CALCULO!G213="","",CALCULO!G213)</f>
        <v/>
      </c>
      <c r="F213" s="41"/>
      <c r="G213" s="42" t="str">
        <f aca="false">IF(F213="","",ROUND((F213-B213)/B213,4))</f>
        <v/>
      </c>
      <c r="H213" s="42" t="str">
        <f aca="false">IF(F213="","",1-IMPOSTOS-CALCULO!B213/F213)</f>
        <v/>
      </c>
      <c r="I213" s="42" t="str">
        <f aca="false">IF(F213="","",H213-CALCULO!C213)</f>
        <v/>
      </c>
      <c r="J213" s="40" t="str">
        <f aca="false">IF(F213="","",ROUND(CALCULO!B213/(1-IMPOSTOS-H213-TAXA_3X),2))</f>
        <v/>
      </c>
      <c r="K213" s="40" t="str">
        <f aca="false">IF(F213="","",ROUND(CALCULO!B213/(1-IMPOSTOS-H213-TAXA_6X),2))</f>
        <v/>
      </c>
      <c r="L213" s="40" t="str">
        <f aca="false">IF(F213="","",ROUND(CALCULO!B213/(1-IMPOSTOS-H213-TAXA_10X),2))</f>
        <v/>
      </c>
    </row>
    <row r="214" customFormat="false" ht="15" hidden="false" customHeight="true" outlineLevel="0" collapsed="false">
      <c r="A214" s="8" t="n">
        <f aca="false">CALCULO!A214</f>
        <v>0</v>
      </c>
      <c r="B214" s="40" t="str">
        <f aca="false">IF(CALCULO!D214="","",CALCULO!D214)</f>
        <v/>
      </c>
      <c r="C214" s="40" t="str">
        <f aca="false">IF(CALCULO!E214="","",CALCULO!E214)</f>
        <v/>
      </c>
      <c r="D214" s="40" t="str">
        <f aca="false">IF(CALCULO!F214="","",CALCULO!F214)</f>
        <v/>
      </c>
      <c r="E214" s="40" t="str">
        <f aca="false">IF(CALCULO!G214="","",CALCULO!G214)</f>
        <v/>
      </c>
      <c r="F214" s="41"/>
      <c r="G214" s="42" t="str">
        <f aca="false">IF(F214="","",ROUND((F214-B214)/B214,4))</f>
        <v/>
      </c>
      <c r="H214" s="42" t="str">
        <f aca="false">IF(F214="","",1-IMPOSTOS-CALCULO!B214/F214)</f>
        <v/>
      </c>
      <c r="I214" s="42" t="str">
        <f aca="false">IF(F214="","",H214-CALCULO!C214)</f>
        <v/>
      </c>
      <c r="J214" s="40" t="str">
        <f aca="false">IF(F214="","",ROUND(CALCULO!B214/(1-IMPOSTOS-H214-TAXA_3X),2))</f>
        <v/>
      </c>
      <c r="K214" s="40" t="str">
        <f aca="false">IF(F214="","",ROUND(CALCULO!B214/(1-IMPOSTOS-H214-TAXA_6X),2))</f>
        <v/>
      </c>
      <c r="L214" s="40" t="str">
        <f aca="false">IF(F214="","",ROUND(CALCULO!B214/(1-IMPOSTOS-H214-TAXA_10X),2))</f>
        <v/>
      </c>
    </row>
    <row r="215" customFormat="false" ht="15" hidden="false" customHeight="true" outlineLevel="0" collapsed="false">
      <c r="A215" s="8" t="n">
        <f aca="false">CALCULO!A215</f>
        <v>0</v>
      </c>
      <c r="B215" s="40" t="str">
        <f aca="false">IF(CALCULO!D215="","",CALCULO!D215)</f>
        <v/>
      </c>
      <c r="C215" s="40" t="str">
        <f aca="false">IF(CALCULO!E215="","",CALCULO!E215)</f>
        <v/>
      </c>
      <c r="D215" s="40" t="str">
        <f aca="false">IF(CALCULO!F215="","",CALCULO!F215)</f>
        <v/>
      </c>
      <c r="E215" s="40" t="str">
        <f aca="false">IF(CALCULO!G215="","",CALCULO!G215)</f>
        <v/>
      </c>
      <c r="F215" s="41"/>
      <c r="G215" s="42" t="str">
        <f aca="false">IF(F215="","",ROUND((F215-B215)/B215,4))</f>
        <v/>
      </c>
      <c r="H215" s="42" t="str">
        <f aca="false">IF(F215="","",1-IMPOSTOS-CALCULO!B215/F215)</f>
        <v/>
      </c>
      <c r="I215" s="42" t="str">
        <f aca="false">IF(F215="","",H215-CALCULO!C215)</f>
        <v/>
      </c>
      <c r="J215" s="40" t="str">
        <f aca="false">IF(F215="","",ROUND(CALCULO!B215/(1-IMPOSTOS-H215-TAXA_3X),2))</f>
        <v/>
      </c>
      <c r="K215" s="40" t="str">
        <f aca="false">IF(F215="","",ROUND(CALCULO!B215/(1-IMPOSTOS-H215-TAXA_6X),2))</f>
        <v/>
      </c>
      <c r="L215" s="40" t="str">
        <f aca="false">IF(F215="","",ROUND(CALCULO!B215/(1-IMPOSTOS-H215-TAXA_10X),2))</f>
        <v/>
      </c>
    </row>
    <row r="216" customFormat="false" ht="15" hidden="false" customHeight="true" outlineLevel="0" collapsed="false">
      <c r="A216" s="8" t="n">
        <f aca="false">CALCULO!A216</f>
        <v>0</v>
      </c>
      <c r="B216" s="40" t="str">
        <f aca="false">IF(CALCULO!D216="","",CALCULO!D216)</f>
        <v/>
      </c>
      <c r="C216" s="40" t="str">
        <f aca="false">IF(CALCULO!E216="","",CALCULO!E216)</f>
        <v/>
      </c>
      <c r="D216" s="40" t="str">
        <f aca="false">IF(CALCULO!F216="","",CALCULO!F216)</f>
        <v/>
      </c>
      <c r="E216" s="40" t="str">
        <f aca="false">IF(CALCULO!G216="","",CALCULO!G216)</f>
        <v/>
      </c>
      <c r="F216" s="41"/>
      <c r="G216" s="42" t="str">
        <f aca="false">IF(F216="","",ROUND((F216-B216)/B216,4))</f>
        <v/>
      </c>
      <c r="H216" s="42" t="str">
        <f aca="false">IF(F216="","",1-IMPOSTOS-CALCULO!B216/F216)</f>
        <v/>
      </c>
      <c r="I216" s="42" t="str">
        <f aca="false">IF(F216="","",H216-CALCULO!C216)</f>
        <v/>
      </c>
      <c r="J216" s="40" t="str">
        <f aca="false">IF(F216="","",ROUND(CALCULO!B216/(1-IMPOSTOS-H216-TAXA_3X),2))</f>
        <v/>
      </c>
      <c r="K216" s="40" t="str">
        <f aca="false">IF(F216="","",ROUND(CALCULO!B216/(1-IMPOSTOS-H216-TAXA_6X),2))</f>
        <v/>
      </c>
      <c r="L216" s="40" t="str">
        <f aca="false">IF(F216="","",ROUND(CALCULO!B216/(1-IMPOSTOS-H216-TAXA_10X),2))</f>
        <v/>
      </c>
    </row>
    <row r="217" customFormat="false" ht="15" hidden="false" customHeight="true" outlineLevel="0" collapsed="false">
      <c r="A217" s="8" t="n">
        <f aca="false">CALCULO!A217</f>
        <v>0</v>
      </c>
      <c r="B217" s="40" t="str">
        <f aca="false">IF(CALCULO!D217="","",CALCULO!D217)</f>
        <v/>
      </c>
      <c r="C217" s="40" t="str">
        <f aca="false">IF(CALCULO!E217="","",CALCULO!E217)</f>
        <v/>
      </c>
      <c r="D217" s="40" t="str">
        <f aca="false">IF(CALCULO!F217="","",CALCULO!F217)</f>
        <v/>
      </c>
      <c r="E217" s="40" t="str">
        <f aca="false">IF(CALCULO!G217="","",CALCULO!G217)</f>
        <v/>
      </c>
      <c r="F217" s="41"/>
      <c r="G217" s="42" t="str">
        <f aca="false">IF(F217="","",ROUND((F217-B217)/B217,4))</f>
        <v/>
      </c>
      <c r="H217" s="42" t="str">
        <f aca="false">IF(F217="","",1-IMPOSTOS-CALCULO!B217/F217)</f>
        <v/>
      </c>
      <c r="I217" s="42" t="str">
        <f aca="false">IF(F217="","",H217-CALCULO!C217)</f>
        <v/>
      </c>
      <c r="J217" s="40" t="str">
        <f aca="false">IF(F217="","",ROUND(CALCULO!B217/(1-IMPOSTOS-H217-TAXA_3X),2))</f>
        <v/>
      </c>
      <c r="K217" s="40" t="str">
        <f aca="false">IF(F217="","",ROUND(CALCULO!B217/(1-IMPOSTOS-H217-TAXA_6X),2))</f>
        <v/>
      </c>
      <c r="L217" s="40" t="str">
        <f aca="false">IF(F217="","",ROUND(CALCULO!B217/(1-IMPOSTOS-H217-TAXA_10X),2))</f>
        <v/>
      </c>
    </row>
    <row r="218" customFormat="false" ht="15" hidden="false" customHeight="true" outlineLevel="0" collapsed="false">
      <c r="A218" s="8" t="n">
        <f aca="false">CALCULO!A218</f>
        <v>0</v>
      </c>
      <c r="B218" s="40" t="str">
        <f aca="false">IF(CALCULO!D218="","",CALCULO!D218)</f>
        <v/>
      </c>
      <c r="C218" s="40" t="str">
        <f aca="false">IF(CALCULO!E218="","",CALCULO!E218)</f>
        <v/>
      </c>
      <c r="D218" s="40" t="str">
        <f aca="false">IF(CALCULO!F218="","",CALCULO!F218)</f>
        <v/>
      </c>
      <c r="E218" s="40" t="str">
        <f aca="false">IF(CALCULO!G218="","",CALCULO!G218)</f>
        <v/>
      </c>
      <c r="F218" s="41"/>
      <c r="G218" s="42" t="str">
        <f aca="false">IF(F218="","",ROUND((F218-B218)/B218,4))</f>
        <v/>
      </c>
      <c r="H218" s="42" t="str">
        <f aca="false">IF(F218="","",1-IMPOSTOS-CALCULO!B218/F218)</f>
        <v/>
      </c>
      <c r="I218" s="42" t="str">
        <f aca="false">IF(F218="","",H218-CALCULO!C218)</f>
        <v/>
      </c>
      <c r="J218" s="40" t="str">
        <f aca="false">IF(F218="","",ROUND(CALCULO!B218/(1-IMPOSTOS-H218-TAXA_3X),2))</f>
        <v/>
      </c>
      <c r="K218" s="40" t="str">
        <f aca="false">IF(F218="","",ROUND(CALCULO!B218/(1-IMPOSTOS-H218-TAXA_6X),2))</f>
        <v/>
      </c>
      <c r="L218" s="40" t="str">
        <f aca="false">IF(F218="","",ROUND(CALCULO!B218/(1-IMPOSTOS-H218-TAXA_10X),2))</f>
        <v/>
      </c>
    </row>
    <row r="219" customFormat="false" ht="15" hidden="false" customHeight="true" outlineLevel="0" collapsed="false">
      <c r="A219" s="8" t="n">
        <f aca="false">CALCULO!A219</f>
        <v>0</v>
      </c>
      <c r="B219" s="40" t="str">
        <f aca="false">IF(CALCULO!D219="","",CALCULO!D219)</f>
        <v/>
      </c>
      <c r="C219" s="40" t="str">
        <f aca="false">IF(CALCULO!E219="","",CALCULO!E219)</f>
        <v/>
      </c>
      <c r="D219" s="40" t="str">
        <f aca="false">IF(CALCULO!F219="","",CALCULO!F219)</f>
        <v/>
      </c>
      <c r="E219" s="40" t="str">
        <f aca="false">IF(CALCULO!G219="","",CALCULO!G219)</f>
        <v/>
      </c>
      <c r="F219" s="41"/>
      <c r="G219" s="42" t="str">
        <f aca="false">IF(F219="","",ROUND((F219-B219)/B219,4))</f>
        <v/>
      </c>
      <c r="H219" s="42" t="str">
        <f aca="false">IF(F219="","",1-IMPOSTOS-CALCULO!B219/F219)</f>
        <v/>
      </c>
      <c r="I219" s="42" t="str">
        <f aca="false">IF(F219="","",H219-CALCULO!C219)</f>
        <v/>
      </c>
      <c r="J219" s="40" t="str">
        <f aca="false">IF(F219="","",ROUND(CALCULO!B219/(1-IMPOSTOS-H219-TAXA_3X),2))</f>
        <v/>
      </c>
      <c r="K219" s="40" t="str">
        <f aca="false">IF(F219="","",ROUND(CALCULO!B219/(1-IMPOSTOS-H219-TAXA_6X),2))</f>
        <v/>
      </c>
      <c r="L219" s="40" t="str">
        <f aca="false">IF(F219="","",ROUND(CALCULO!B219/(1-IMPOSTOS-H219-TAXA_10X),2))</f>
        <v/>
      </c>
    </row>
    <row r="220" customFormat="false" ht="15" hidden="false" customHeight="true" outlineLevel="0" collapsed="false">
      <c r="A220" s="8" t="n">
        <f aca="false">CALCULO!A220</f>
        <v>0</v>
      </c>
      <c r="B220" s="40" t="str">
        <f aca="false">IF(CALCULO!D220="","",CALCULO!D220)</f>
        <v/>
      </c>
      <c r="C220" s="40" t="str">
        <f aca="false">IF(CALCULO!E220="","",CALCULO!E220)</f>
        <v/>
      </c>
      <c r="D220" s="40" t="str">
        <f aca="false">IF(CALCULO!F220="","",CALCULO!F220)</f>
        <v/>
      </c>
      <c r="E220" s="40" t="str">
        <f aca="false">IF(CALCULO!G220="","",CALCULO!G220)</f>
        <v/>
      </c>
      <c r="F220" s="41"/>
      <c r="G220" s="42" t="str">
        <f aca="false">IF(F220="","",ROUND((F220-B220)/B220,4))</f>
        <v/>
      </c>
      <c r="H220" s="42" t="str">
        <f aca="false">IF(F220="","",1-IMPOSTOS-CALCULO!B220/F220)</f>
        <v/>
      </c>
      <c r="I220" s="42" t="str">
        <f aca="false">IF(F220="","",H220-CALCULO!C220)</f>
        <v/>
      </c>
      <c r="J220" s="40" t="str">
        <f aca="false">IF(F220="","",ROUND(CALCULO!B220/(1-IMPOSTOS-H220-TAXA_3X),2))</f>
        <v/>
      </c>
      <c r="K220" s="40" t="str">
        <f aca="false">IF(F220="","",ROUND(CALCULO!B220/(1-IMPOSTOS-H220-TAXA_6X),2))</f>
        <v/>
      </c>
      <c r="L220" s="40" t="str">
        <f aca="false">IF(F220="","",ROUND(CALCULO!B220/(1-IMPOSTOS-H220-TAXA_10X),2))</f>
        <v/>
      </c>
    </row>
    <row r="221" customFormat="false" ht="15" hidden="false" customHeight="true" outlineLevel="0" collapsed="false">
      <c r="A221" s="8" t="n">
        <f aca="false">CALCULO!A221</f>
        <v>0</v>
      </c>
      <c r="B221" s="40" t="str">
        <f aca="false">IF(CALCULO!D221="","",CALCULO!D221)</f>
        <v/>
      </c>
      <c r="C221" s="40" t="str">
        <f aca="false">IF(CALCULO!E221="","",CALCULO!E221)</f>
        <v/>
      </c>
      <c r="D221" s="40" t="str">
        <f aca="false">IF(CALCULO!F221="","",CALCULO!F221)</f>
        <v/>
      </c>
      <c r="E221" s="40" t="str">
        <f aca="false">IF(CALCULO!G221="","",CALCULO!G221)</f>
        <v/>
      </c>
      <c r="F221" s="41"/>
      <c r="G221" s="42" t="str">
        <f aca="false">IF(F221="","",ROUND((F221-B221)/B221,4))</f>
        <v/>
      </c>
      <c r="H221" s="42" t="str">
        <f aca="false">IF(F221="","",1-IMPOSTOS-CALCULO!B221/F221)</f>
        <v/>
      </c>
      <c r="I221" s="42" t="str">
        <f aca="false">IF(F221="","",H221-CALCULO!C221)</f>
        <v/>
      </c>
      <c r="J221" s="40" t="str">
        <f aca="false">IF(F221="","",ROUND(CALCULO!B221/(1-IMPOSTOS-H221-TAXA_3X),2))</f>
        <v/>
      </c>
      <c r="K221" s="40" t="str">
        <f aca="false">IF(F221="","",ROUND(CALCULO!B221/(1-IMPOSTOS-H221-TAXA_6X),2))</f>
        <v/>
      </c>
      <c r="L221" s="40" t="str">
        <f aca="false">IF(F221="","",ROUND(CALCULO!B221/(1-IMPOSTOS-H221-TAXA_10X),2))</f>
        <v/>
      </c>
    </row>
    <row r="222" customFormat="false" ht="15" hidden="false" customHeight="true" outlineLevel="0" collapsed="false">
      <c r="A222" s="8" t="n">
        <f aca="false">CALCULO!A222</f>
        <v>0</v>
      </c>
      <c r="B222" s="40" t="str">
        <f aca="false">IF(CALCULO!D222="","",CALCULO!D222)</f>
        <v/>
      </c>
      <c r="C222" s="40" t="str">
        <f aca="false">IF(CALCULO!E222="","",CALCULO!E222)</f>
        <v/>
      </c>
      <c r="D222" s="40" t="str">
        <f aca="false">IF(CALCULO!F222="","",CALCULO!F222)</f>
        <v/>
      </c>
      <c r="E222" s="40" t="str">
        <f aca="false">IF(CALCULO!G222="","",CALCULO!G222)</f>
        <v/>
      </c>
      <c r="F222" s="41"/>
      <c r="G222" s="42" t="str">
        <f aca="false">IF(F222="","",ROUND((F222-B222)/B222,4))</f>
        <v/>
      </c>
      <c r="H222" s="42" t="str">
        <f aca="false">IF(F222="","",1-IMPOSTOS-CALCULO!B222/F222)</f>
        <v/>
      </c>
      <c r="I222" s="42" t="str">
        <f aca="false">IF(F222="","",H222-CALCULO!C222)</f>
        <v/>
      </c>
      <c r="J222" s="40" t="str">
        <f aca="false">IF(F222="","",ROUND(CALCULO!B222/(1-IMPOSTOS-H222-TAXA_3X),2))</f>
        <v/>
      </c>
      <c r="K222" s="40" t="str">
        <f aca="false">IF(F222="","",ROUND(CALCULO!B222/(1-IMPOSTOS-H222-TAXA_6X),2))</f>
        <v/>
      </c>
      <c r="L222" s="40" t="str">
        <f aca="false">IF(F222="","",ROUND(CALCULO!B222/(1-IMPOSTOS-H222-TAXA_10X),2))</f>
        <v/>
      </c>
    </row>
    <row r="223" customFormat="false" ht="15" hidden="false" customHeight="true" outlineLevel="0" collapsed="false">
      <c r="A223" s="8" t="n">
        <f aca="false">CALCULO!A223</f>
        <v>0</v>
      </c>
      <c r="B223" s="40" t="str">
        <f aca="false">IF(CALCULO!D223="","",CALCULO!D223)</f>
        <v/>
      </c>
      <c r="C223" s="40" t="str">
        <f aca="false">IF(CALCULO!E223="","",CALCULO!E223)</f>
        <v/>
      </c>
      <c r="D223" s="40" t="str">
        <f aca="false">IF(CALCULO!F223="","",CALCULO!F223)</f>
        <v/>
      </c>
      <c r="E223" s="40" t="str">
        <f aca="false">IF(CALCULO!G223="","",CALCULO!G223)</f>
        <v/>
      </c>
      <c r="F223" s="41"/>
      <c r="G223" s="42" t="str">
        <f aca="false">IF(F223="","",ROUND((F223-B223)/B223,4))</f>
        <v/>
      </c>
      <c r="H223" s="42" t="str">
        <f aca="false">IF(F223="","",1-IMPOSTOS-CALCULO!B223/F223)</f>
        <v/>
      </c>
      <c r="I223" s="42" t="str">
        <f aca="false">IF(F223="","",H223-CALCULO!C223)</f>
        <v/>
      </c>
      <c r="J223" s="40" t="str">
        <f aca="false">IF(F223="","",ROUND(CALCULO!B223/(1-IMPOSTOS-H223-TAXA_3X),2))</f>
        <v/>
      </c>
      <c r="K223" s="40" t="str">
        <f aca="false">IF(F223="","",ROUND(CALCULO!B223/(1-IMPOSTOS-H223-TAXA_6X),2))</f>
        <v/>
      </c>
      <c r="L223" s="40" t="str">
        <f aca="false">IF(F223="","",ROUND(CALCULO!B223/(1-IMPOSTOS-H223-TAXA_10X),2))</f>
        <v/>
      </c>
    </row>
    <row r="224" customFormat="false" ht="15" hidden="false" customHeight="true" outlineLevel="0" collapsed="false">
      <c r="A224" s="8" t="n">
        <f aca="false">CALCULO!A224</f>
        <v>0</v>
      </c>
      <c r="B224" s="40" t="str">
        <f aca="false">IF(CALCULO!D224="","",CALCULO!D224)</f>
        <v/>
      </c>
      <c r="C224" s="40" t="str">
        <f aca="false">IF(CALCULO!E224="","",CALCULO!E224)</f>
        <v/>
      </c>
      <c r="D224" s="40" t="str">
        <f aca="false">IF(CALCULO!F224="","",CALCULO!F224)</f>
        <v/>
      </c>
      <c r="E224" s="40" t="str">
        <f aca="false">IF(CALCULO!G224="","",CALCULO!G224)</f>
        <v/>
      </c>
      <c r="F224" s="41"/>
      <c r="G224" s="42" t="str">
        <f aca="false">IF(F224="","",ROUND((F224-B224)/B224,4))</f>
        <v/>
      </c>
      <c r="H224" s="42" t="str">
        <f aca="false">IF(F224="","",1-IMPOSTOS-CALCULO!B224/F224)</f>
        <v/>
      </c>
      <c r="I224" s="42" t="str">
        <f aca="false">IF(F224="","",H224-CALCULO!C224)</f>
        <v/>
      </c>
      <c r="J224" s="40" t="str">
        <f aca="false">IF(F224="","",ROUND(CALCULO!B224/(1-IMPOSTOS-H224-TAXA_3X),2))</f>
        <v/>
      </c>
      <c r="K224" s="40" t="str">
        <f aca="false">IF(F224="","",ROUND(CALCULO!B224/(1-IMPOSTOS-H224-TAXA_6X),2))</f>
        <v/>
      </c>
      <c r="L224" s="40" t="str">
        <f aca="false">IF(F224="","",ROUND(CALCULO!B224/(1-IMPOSTOS-H224-TAXA_10X),2))</f>
        <v/>
      </c>
    </row>
    <row r="225" customFormat="false" ht="15" hidden="false" customHeight="true" outlineLevel="0" collapsed="false">
      <c r="A225" s="8" t="n">
        <f aca="false">CALCULO!A225</f>
        <v>0</v>
      </c>
      <c r="B225" s="40" t="str">
        <f aca="false">IF(CALCULO!D225="","",CALCULO!D225)</f>
        <v/>
      </c>
      <c r="C225" s="40" t="str">
        <f aca="false">IF(CALCULO!E225="","",CALCULO!E225)</f>
        <v/>
      </c>
      <c r="D225" s="40" t="str">
        <f aca="false">IF(CALCULO!F225="","",CALCULO!F225)</f>
        <v/>
      </c>
      <c r="E225" s="40" t="str">
        <f aca="false">IF(CALCULO!G225="","",CALCULO!G225)</f>
        <v/>
      </c>
      <c r="F225" s="41"/>
      <c r="G225" s="42" t="str">
        <f aca="false">IF(F225="","",ROUND((F225-B225)/B225,4))</f>
        <v/>
      </c>
      <c r="H225" s="42" t="str">
        <f aca="false">IF(F225="","",1-IMPOSTOS-CALCULO!B225/F225)</f>
        <v/>
      </c>
      <c r="I225" s="42" t="str">
        <f aca="false">IF(F225="","",H225-CALCULO!C225)</f>
        <v/>
      </c>
      <c r="J225" s="40" t="str">
        <f aca="false">IF(F225="","",ROUND(CALCULO!B225/(1-IMPOSTOS-H225-TAXA_3X),2))</f>
        <v/>
      </c>
      <c r="K225" s="40" t="str">
        <f aca="false">IF(F225="","",ROUND(CALCULO!B225/(1-IMPOSTOS-H225-TAXA_6X),2))</f>
        <v/>
      </c>
      <c r="L225" s="40" t="str">
        <f aca="false">IF(F225="","",ROUND(CALCULO!B225/(1-IMPOSTOS-H225-TAXA_10X),2))</f>
        <v/>
      </c>
    </row>
    <row r="226" customFormat="false" ht="15" hidden="false" customHeight="true" outlineLevel="0" collapsed="false">
      <c r="A226" s="8" t="n">
        <f aca="false">CALCULO!A226</f>
        <v>0</v>
      </c>
      <c r="B226" s="40" t="str">
        <f aca="false">IF(CALCULO!D226="","",CALCULO!D226)</f>
        <v/>
      </c>
      <c r="C226" s="40" t="str">
        <f aca="false">IF(CALCULO!E226="","",CALCULO!E226)</f>
        <v/>
      </c>
      <c r="D226" s="40" t="str">
        <f aca="false">IF(CALCULO!F226="","",CALCULO!F226)</f>
        <v/>
      </c>
      <c r="E226" s="40" t="str">
        <f aca="false">IF(CALCULO!G226="","",CALCULO!G226)</f>
        <v/>
      </c>
      <c r="F226" s="41"/>
      <c r="G226" s="42" t="str">
        <f aca="false">IF(F226="","",ROUND((F226-B226)/B226,4))</f>
        <v/>
      </c>
      <c r="H226" s="42" t="str">
        <f aca="false">IF(F226="","",1-IMPOSTOS-CALCULO!B226/F226)</f>
        <v/>
      </c>
      <c r="I226" s="42" t="str">
        <f aca="false">IF(F226="","",H226-CALCULO!C226)</f>
        <v/>
      </c>
      <c r="J226" s="40" t="str">
        <f aca="false">IF(F226="","",ROUND(CALCULO!B226/(1-IMPOSTOS-H226-TAXA_3X),2))</f>
        <v/>
      </c>
      <c r="K226" s="40" t="str">
        <f aca="false">IF(F226="","",ROUND(CALCULO!B226/(1-IMPOSTOS-H226-TAXA_6X),2))</f>
        <v/>
      </c>
      <c r="L226" s="40" t="str">
        <f aca="false">IF(F226="","",ROUND(CALCULO!B226/(1-IMPOSTOS-H226-TAXA_10X),2))</f>
        <v/>
      </c>
    </row>
    <row r="227" customFormat="false" ht="15" hidden="false" customHeight="true" outlineLevel="0" collapsed="false">
      <c r="A227" s="8" t="n">
        <f aca="false">CALCULO!A227</f>
        <v>0</v>
      </c>
      <c r="B227" s="40" t="str">
        <f aca="false">IF(CALCULO!D227="","",CALCULO!D227)</f>
        <v/>
      </c>
      <c r="C227" s="40" t="str">
        <f aca="false">IF(CALCULO!E227="","",CALCULO!E227)</f>
        <v/>
      </c>
      <c r="D227" s="40" t="str">
        <f aca="false">IF(CALCULO!F227="","",CALCULO!F227)</f>
        <v/>
      </c>
      <c r="E227" s="40" t="str">
        <f aca="false">IF(CALCULO!G227="","",CALCULO!G227)</f>
        <v/>
      </c>
      <c r="F227" s="41"/>
      <c r="G227" s="42" t="str">
        <f aca="false">IF(F227="","",ROUND((F227-B227)/B227,4))</f>
        <v/>
      </c>
      <c r="H227" s="42" t="str">
        <f aca="false">IF(F227="","",1-IMPOSTOS-CALCULO!B227/F227)</f>
        <v/>
      </c>
      <c r="I227" s="42" t="str">
        <f aca="false">IF(F227="","",H227-CALCULO!C227)</f>
        <v/>
      </c>
      <c r="J227" s="40" t="str">
        <f aca="false">IF(F227="","",ROUND(CALCULO!B227/(1-IMPOSTOS-H227-TAXA_3X),2))</f>
        <v/>
      </c>
      <c r="K227" s="40" t="str">
        <f aca="false">IF(F227="","",ROUND(CALCULO!B227/(1-IMPOSTOS-H227-TAXA_6X),2))</f>
        <v/>
      </c>
      <c r="L227" s="40" t="str">
        <f aca="false">IF(F227="","",ROUND(CALCULO!B227/(1-IMPOSTOS-H227-TAXA_10X),2))</f>
        <v/>
      </c>
    </row>
    <row r="228" customFormat="false" ht="15" hidden="false" customHeight="true" outlineLevel="0" collapsed="false">
      <c r="A228" s="8" t="n">
        <f aca="false">CALCULO!A228</f>
        <v>0</v>
      </c>
      <c r="B228" s="40" t="str">
        <f aca="false">IF(CALCULO!D228="","",CALCULO!D228)</f>
        <v/>
      </c>
      <c r="C228" s="40" t="str">
        <f aca="false">IF(CALCULO!E228="","",CALCULO!E228)</f>
        <v/>
      </c>
      <c r="D228" s="40" t="str">
        <f aca="false">IF(CALCULO!F228="","",CALCULO!F228)</f>
        <v/>
      </c>
      <c r="E228" s="40" t="str">
        <f aca="false">IF(CALCULO!G228="","",CALCULO!G228)</f>
        <v/>
      </c>
      <c r="F228" s="41"/>
      <c r="G228" s="42" t="str">
        <f aca="false">IF(F228="","",ROUND((F228-B228)/B228,4))</f>
        <v/>
      </c>
      <c r="H228" s="42" t="str">
        <f aca="false">IF(F228="","",1-IMPOSTOS-CALCULO!B228/F228)</f>
        <v/>
      </c>
      <c r="I228" s="42" t="str">
        <f aca="false">IF(F228="","",H228-CALCULO!C228)</f>
        <v/>
      </c>
      <c r="J228" s="40" t="str">
        <f aca="false">IF(F228="","",ROUND(CALCULO!B228/(1-IMPOSTOS-H228-TAXA_3X),2))</f>
        <v/>
      </c>
      <c r="K228" s="40" t="str">
        <f aca="false">IF(F228="","",ROUND(CALCULO!B228/(1-IMPOSTOS-H228-TAXA_6X),2))</f>
        <v/>
      </c>
      <c r="L228" s="40" t="str">
        <f aca="false">IF(F228="","",ROUND(CALCULO!B228/(1-IMPOSTOS-H228-TAXA_10X),2))</f>
        <v/>
      </c>
    </row>
    <row r="229" customFormat="false" ht="15" hidden="false" customHeight="true" outlineLevel="0" collapsed="false">
      <c r="A229" s="8" t="n">
        <f aca="false">CALCULO!A229</f>
        <v>0</v>
      </c>
      <c r="B229" s="40" t="str">
        <f aca="false">IF(CALCULO!D229="","",CALCULO!D229)</f>
        <v/>
      </c>
      <c r="C229" s="40" t="str">
        <f aca="false">IF(CALCULO!E229="","",CALCULO!E229)</f>
        <v/>
      </c>
      <c r="D229" s="40" t="str">
        <f aca="false">IF(CALCULO!F229="","",CALCULO!F229)</f>
        <v/>
      </c>
      <c r="E229" s="40" t="str">
        <f aca="false">IF(CALCULO!G229="","",CALCULO!G229)</f>
        <v/>
      </c>
      <c r="F229" s="41"/>
      <c r="G229" s="42" t="str">
        <f aca="false">IF(F229="","",ROUND((F229-B229)/B229,4))</f>
        <v/>
      </c>
      <c r="H229" s="42" t="str">
        <f aca="false">IF(F229="","",1-IMPOSTOS-CALCULO!B229/F229)</f>
        <v/>
      </c>
      <c r="I229" s="42" t="str">
        <f aca="false">IF(F229="","",H229-CALCULO!C229)</f>
        <v/>
      </c>
      <c r="J229" s="40" t="str">
        <f aca="false">IF(F229="","",ROUND(CALCULO!B229/(1-IMPOSTOS-H229-TAXA_3X),2))</f>
        <v/>
      </c>
      <c r="K229" s="40" t="str">
        <f aca="false">IF(F229="","",ROUND(CALCULO!B229/(1-IMPOSTOS-H229-TAXA_6X),2))</f>
        <v/>
      </c>
      <c r="L229" s="40" t="str">
        <f aca="false">IF(F229="","",ROUND(CALCULO!B229/(1-IMPOSTOS-H229-TAXA_10X),2))</f>
        <v/>
      </c>
    </row>
    <row r="230" customFormat="false" ht="15" hidden="false" customHeight="true" outlineLevel="0" collapsed="false">
      <c r="A230" s="8" t="n">
        <f aca="false">CALCULO!A230</f>
        <v>0</v>
      </c>
      <c r="B230" s="40" t="str">
        <f aca="false">IF(CALCULO!D230="","",CALCULO!D230)</f>
        <v/>
      </c>
      <c r="C230" s="40" t="str">
        <f aca="false">IF(CALCULO!E230="","",CALCULO!E230)</f>
        <v/>
      </c>
      <c r="D230" s="40" t="str">
        <f aca="false">IF(CALCULO!F230="","",CALCULO!F230)</f>
        <v/>
      </c>
      <c r="E230" s="40" t="str">
        <f aca="false">IF(CALCULO!G230="","",CALCULO!G230)</f>
        <v/>
      </c>
      <c r="F230" s="41"/>
      <c r="G230" s="42" t="str">
        <f aca="false">IF(F230="","",ROUND((F230-B230)/B230,4))</f>
        <v/>
      </c>
      <c r="H230" s="42" t="str">
        <f aca="false">IF(F230="","",1-IMPOSTOS-CALCULO!B230/F230)</f>
        <v/>
      </c>
      <c r="I230" s="42" t="str">
        <f aca="false">IF(F230="","",H230-CALCULO!C230)</f>
        <v/>
      </c>
      <c r="J230" s="40" t="str">
        <f aca="false">IF(F230="","",ROUND(CALCULO!B230/(1-IMPOSTOS-H230-TAXA_3X),2))</f>
        <v/>
      </c>
      <c r="K230" s="40" t="str">
        <f aca="false">IF(F230="","",ROUND(CALCULO!B230/(1-IMPOSTOS-H230-TAXA_6X),2))</f>
        <v/>
      </c>
      <c r="L230" s="40" t="str">
        <f aca="false">IF(F230="","",ROUND(CALCULO!B230/(1-IMPOSTOS-H230-TAXA_10X),2))</f>
        <v/>
      </c>
    </row>
    <row r="231" customFormat="false" ht="15" hidden="false" customHeight="true" outlineLevel="0" collapsed="false">
      <c r="A231" s="8" t="n">
        <f aca="false">CALCULO!A231</f>
        <v>0</v>
      </c>
      <c r="B231" s="40" t="str">
        <f aca="false">IF(CALCULO!D231="","",CALCULO!D231)</f>
        <v/>
      </c>
      <c r="C231" s="40" t="str">
        <f aca="false">IF(CALCULO!E231="","",CALCULO!E231)</f>
        <v/>
      </c>
      <c r="D231" s="40" t="str">
        <f aca="false">IF(CALCULO!F231="","",CALCULO!F231)</f>
        <v/>
      </c>
      <c r="E231" s="40" t="str">
        <f aca="false">IF(CALCULO!G231="","",CALCULO!G231)</f>
        <v/>
      </c>
      <c r="F231" s="41"/>
      <c r="G231" s="42" t="str">
        <f aca="false">IF(F231="","",ROUND((F231-B231)/B231,4))</f>
        <v/>
      </c>
      <c r="H231" s="42" t="str">
        <f aca="false">IF(F231="","",1-IMPOSTOS-CALCULO!B231/F231)</f>
        <v/>
      </c>
      <c r="I231" s="42" t="str">
        <f aca="false">IF(F231="","",H231-CALCULO!C231)</f>
        <v/>
      </c>
      <c r="J231" s="40" t="str">
        <f aca="false">IF(F231="","",ROUND(CALCULO!B231/(1-IMPOSTOS-H231-TAXA_3X),2))</f>
        <v/>
      </c>
      <c r="K231" s="40" t="str">
        <f aca="false">IF(F231="","",ROUND(CALCULO!B231/(1-IMPOSTOS-H231-TAXA_6X),2))</f>
        <v/>
      </c>
      <c r="L231" s="40" t="str">
        <f aca="false">IF(F231="","",ROUND(CALCULO!B231/(1-IMPOSTOS-H231-TAXA_10X),2))</f>
        <v/>
      </c>
    </row>
    <row r="232" customFormat="false" ht="15" hidden="false" customHeight="true" outlineLevel="0" collapsed="false">
      <c r="A232" s="8" t="n">
        <f aca="false">CALCULO!A232</f>
        <v>0</v>
      </c>
      <c r="B232" s="40" t="str">
        <f aca="false">IF(CALCULO!D232="","",CALCULO!D232)</f>
        <v/>
      </c>
      <c r="C232" s="40" t="str">
        <f aca="false">IF(CALCULO!E232="","",CALCULO!E232)</f>
        <v/>
      </c>
      <c r="D232" s="40" t="str">
        <f aca="false">IF(CALCULO!F232="","",CALCULO!F232)</f>
        <v/>
      </c>
      <c r="E232" s="40" t="str">
        <f aca="false">IF(CALCULO!G232="","",CALCULO!G232)</f>
        <v/>
      </c>
      <c r="F232" s="41"/>
      <c r="G232" s="42" t="str">
        <f aca="false">IF(F232="","",ROUND((F232-B232)/B232,4))</f>
        <v/>
      </c>
      <c r="H232" s="42" t="str">
        <f aca="false">IF(F232="","",1-IMPOSTOS-CALCULO!B232/F232)</f>
        <v/>
      </c>
      <c r="I232" s="42" t="str">
        <f aca="false">IF(F232="","",H232-CALCULO!C232)</f>
        <v/>
      </c>
      <c r="J232" s="40" t="str">
        <f aca="false">IF(F232="","",ROUND(CALCULO!B232/(1-IMPOSTOS-H232-TAXA_3X),2))</f>
        <v/>
      </c>
      <c r="K232" s="40" t="str">
        <f aca="false">IF(F232="","",ROUND(CALCULO!B232/(1-IMPOSTOS-H232-TAXA_6X),2))</f>
        <v/>
      </c>
      <c r="L232" s="40" t="str">
        <f aca="false">IF(F232="","",ROUND(CALCULO!B232/(1-IMPOSTOS-H232-TAXA_10X),2))</f>
        <v/>
      </c>
    </row>
    <row r="233" customFormat="false" ht="15" hidden="false" customHeight="true" outlineLevel="0" collapsed="false">
      <c r="A233" s="8" t="n">
        <f aca="false">CALCULO!A233</f>
        <v>0</v>
      </c>
      <c r="B233" s="40" t="str">
        <f aca="false">IF(CALCULO!D233="","",CALCULO!D233)</f>
        <v/>
      </c>
      <c r="C233" s="40" t="str">
        <f aca="false">IF(CALCULO!E233="","",CALCULO!E233)</f>
        <v/>
      </c>
      <c r="D233" s="40" t="str">
        <f aca="false">IF(CALCULO!F233="","",CALCULO!F233)</f>
        <v/>
      </c>
      <c r="E233" s="40" t="str">
        <f aca="false">IF(CALCULO!G233="","",CALCULO!G233)</f>
        <v/>
      </c>
      <c r="F233" s="41"/>
      <c r="G233" s="42" t="str">
        <f aca="false">IF(F233="","",ROUND((F233-B233)/B233,4))</f>
        <v/>
      </c>
      <c r="H233" s="42" t="str">
        <f aca="false">IF(F233="","",1-IMPOSTOS-CALCULO!B233/F233)</f>
        <v/>
      </c>
      <c r="I233" s="42" t="str">
        <f aca="false">IF(F233="","",H233-CALCULO!C233)</f>
        <v/>
      </c>
      <c r="J233" s="40" t="str">
        <f aca="false">IF(F233="","",ROUND(CALCULO!B233/(1-IMPOSTOS-H233-TAXA_3X),2))</f>
        <v/>
      </c>
      <c r="K233" s="40" t="str">
        <f aca="false">IF(F233="","",ROUND(CALCULO!B233/(1-IMPOSTOS-H233-TAXA_6X),2))</f>
        <v/>
      </c>
      <c r="L233" s="40" t="str">
        <f aca="false">IF(F233="","",ROUND(CALCULO!B233/(1-IMPOSTOS-H233-TAXA_10X),2))</f>
        <v/>
      </c>
    </row>
    <row r="234" customFormat="false" ht="15" hidden="false" customHeight="true" outlineLevel="0" collapsed="false">
      <c r="A234" s="8" t="n">
        <f aca="false">CALCULO!A234</f>
        <v>0</v>
      </c>
      <c r="B234" s="40" t="str">
        <f aca="false">IF(CALCULO!D234="","",CALCULO!D234)</f>
        <v/>
      </c>
      <c r="C234" s="40" t="str">
        <f aca="false">IF(CALCULO!E234="","",CALCULO!E234)</f>
        <v/>
      </c>
      <c r="D234" s="40" t="str">
        <f aca="false">IF(CALCULO!F234="","",CALCULO!F234)</f>
        <v/>
      </c>
      <c r="E234" s="40" t="str">
        <f aca="false">IF(CALCULO!G234="","",CALCULO!G234)</f>
        <v/>
      </c>
      <c r="F234" s="41"/>
      <c r="G234" s="42" t="str">
        <f aca="false">IF(F234="","",ROUND((F234-B234)/B234,4))</f>
        <v/>
      </c>
      <c r="H234" s="42" t="str">
        <f aca="false">IF(F234="","",1-IMPOSTOS-CALCULO!B234/F234)</f>
        <v/>
      </c>
      <c r="I234" s="42" t="str">
        <f aca="false">IF(F234="","",H234-CALCULO!C234)</f>
        <v/>
      </c>
      <c r="J234" s="40" t="str">
        <f aca="false">IF(F234="","",ROUND(CALCULO!B234/(1-IMPOSTOS-H234-TAXA_3X),2))</f>
        <v/>
      </c>
      <c r="K234" s="40" t="str">
        <f aca="false">IF(F234="","",ROUND(CALCULO!B234/(1-IMPOSTOS-H234-TAXA_6X),2))</f>
        <v/>
      </c>
      <c r="L234" s="40" t="str">
        <f aca="false">IF(F234="","",ROUND(CALCULO!B234/(1-IMPOSTOS-H234-TAXA_10X),2))</f>
        <v/>
      </c>
    </row>
    <row r="235" customFormat="false" ht="15" hidden="false" customHeight="true" outlineLevel="0" collapsed="false">
      <c r="A235" s="8" t="n">
        <f aca="false">CALCULO!A235</f>
        <v>0</v>
      </c>
      <c r="B235" s="40" t="str">
        <f aca="false">IF(CALCULO!D235="","",CALCULO!D235)</f>
        <v/>
      </c>
      <c r="C235" s="40" t="str">
        <f aca="false">IF(CALCULO!E235="","",CALCULO!E235)</f>
        <v/>
      </c>
      <c r="D235" s="40" t="str">
        <f aca="false">IF(CALCULO!F235="","",CALCULO!F235)</f>
        <v/>
      </c>
      <c r="E235" s="40" t="str">
        <f aca="false">IF(CALCULO!G235="","",CALCULO!G235)</f>
        <v/>
      </c>
      <c r="F235" s="41"/>
      <c r="G235" s="42" t="str">
        <f aca="false">IF(F235="","",ROUND((F235-B235)/B235,4))</f>
        <v/>
      </c>
      <c r="H235" s="42" t="str">
        <f aca="false">IF(F235="","",1-IMPOSTOS-CALCULO!B235/F235)</f>
        <v/>
      </c>
      <c r="I235" s="42" t="str">
        <f aca="false">IF(F235="","",H235-CALCULO!C235)</f>
        <v/>
      </c>
      <c r="J235" s="40" t="str">
        <f aca="false">IF(F235="","",ROUND(CALCULO!B235/(1-IMPOSTOS-H235-TAXA_3X),2))</f>
        <v/>
      </c>
      <c r="K235" s="40" t="str">
        <f aca="false">IF(F235="","",ROUND(CALCULO!B235/(1-IMPOSTOS-H235-TAXA_6X),2))</f>
        <v/>
      </c>
      <c r="L235" s="40" t="str">
        <f aca="false">IF(F235="","",ROUND(CALCULO!B235/(1-IMPOSTOS-H235-TAXA_10X),2))</f>
        <v/>
      </c>
    </row>
    <row r="236" customFormat="false" ht="15" hidden="false" customHeight="true" outlineLevel="0" collapsed="false">
      <c r="A236" s="8" t="n">
        <f aca="false">CALCULO!A236</f>
        <v>0</v>
      </c>
      <c r="B236" s="40" t="str">
        <f aca="false">IF(CALCULO!D236="","",CALCULO!D236)</f>
        <v/>
      </c>
      <c r="C236" s="40" t="str">
        <f aca="false">IF(CALCULO!E236="","",CALCULO!E236)</f>
        <v/>
      </c>
      <c r="D236" s="40" t="str">
        <f aca="false">IF(CALCULO!F236="","",CALCULO!F236)</f>
        <v/>
      </c>
      <c r="E236" s="40" t="str">
        <f aca="false">IF(CALCULO!G236="","",CALCULO!G236)</f>
        <v/>
      </c>
      <c r="F236" s="41"/>
      <c r="G236" s="42" t="str">
        <f aca="false">IF(F236="","",ROUND((F236-B236)/B236,4))</f>
        <v/>
      </c>
      <c r="H236" s="42" t="str">
        <f aca="false">IF(F236="","",1-IMPOSTOS-CALCULO!B236/F236)</f>
        <v/>
      </c>
      <c r="I236" s="42" t="str">
        <f aca="false">IF(F236="","",H236-CALCULO!C236)</f>
        <v/>
      </c>
      <c r="J236" s="40" t="str">
        <f aca="false">IF(F236="","",ROUND(CALCULO!B236/(1-IMPOSTOS-H236-TAXA_3X),2))</f>
        <v/>
      </c>
      <c r="K236" s="40" t="str">
        <f aca="false">IF(F236="","",ROUND(CALCULO!B236/(1-IMPOSTOS-H236-TAXA_6X),2))</f>
        <v/>
      </c>
      <c r="L236" s="40" t="str">
        <f aca="false">IF(F236="","",ROUND(CALCULO!B236/(1-IMPOSTOS-H236-TAXA_10X),2))</f>
        <v/>
      </c>
    </row>
    <row r="237" customFormat="false" ht="15" hidden="false" customHeight="true" outlineLevel="0" collapsed="false">
      <c r="A237" s="8" t="n">
        <f aca="false">CALCULO!A237</f>
        <v>0</v>
      </c>
      <c r="B237" s="40" t="str">
        <f aca="false">IF(CALCULO!D237="","",CALCULO!D237)</f>
        <v/>
      </c>
      <c r="C237" s="40" t="str">
        <f aca="false">IF(CALCULO!E237="","",CALCULO!E237)</f>
        <v/>
      </c>
      <c r="D237" s="40" t="str">
        <f aca="false">IF(CALCULO!F237="","",CALCULO!F237)</f>
        <v/>
      </c>
      <c r="E237" s="40" t="str">
        <f aca="false">IF(CALCULO!G237="","",CALCULO!G237)</f>
        <v/>
      </c>
      <c r="F237" s="41"/>
      <c r="G237" s="42" t="str">
        <f aca="false">IF(F237="","",ROUND((F237-B237)/B237,4))</f>
        <v/>
      </c>
      <c r="H237" s="42" t="str">
        <f aca="false">IF(F237="","",1-IMPOSTOS-CALCULO!B237/F237)</f>
        <v/>
      </c>
      <c r="I237" s="42" t="str">
        <f aca="false">IF(F237="","",H237-CALCULO!C237)</f>
        <v/>
      </c>
      <c r="J237" s="40" t="str">
        <f aca="false">IF(F237="","",ROUND(CALCULO!B237/(1-IMPOSTOS-H237-TAXA_3X),2))</f>
        <v/>
      </c>
      <c r="K237" s="40" t="str">
        <f aca="false">IF(F237="","",ROUND(CALCULO!B237/(1-IMPOSTOS-H237-TAXA_6X),2))</f>
        <v/>
      </c>
      <c r="L237" s="40" t="str">
        <f aca="false">IF(F237="","",ROUND(CALCULO!B237/(1-IMPOSTOS-H237-TAXA_10X),2))</f>
        <v/>
      </c>
    </row>
    <row r="238" customFormat="false" ht="15" hidden="false" customHeight="true" outlineLevel="0" collapsed="false">
      <c r="A238" s="8" t="n">
        <f aca="false">CALCULO!A238</f>
        <v>0</v>
      </c>
      <c r="B238" s="40" t="str">
        <f aca="false">IF(CALCULO!D238="","",CALCULO!D238)</f>
        <v/>
      </c>
      <c r="C238" s="40" t="str">
        <f aca="false">IF(CALCULO!E238="","",CALCULO!E238)</f>
        <v/>
      </c>
      <c r="D238" s="40" t="str">
        <f aca="false">IF(CALCULO!F238="","",CALCULO!F238)</f>
        <v/>
      </c>
      <c r="E238" s="40" t="str">
        <f aca="false">IF(CALCULO!G238="","",CALCULO!G238)</f>
        <v/>
      </c>
      <c r="F238" s="41"/>
      <c r="G238" s="42" t="str">
        <f aca="false">IF(F238="","",ROUND((F238-B238)/B238,4))</f>
        <v/>
      </c>
      <c r="H238" s="42" t="str">
        <f aca="false">IF(F238="","",1-IMPOSTOS-CALCULO!B238/F238)</f>
        <v/>
      </c>
      <c r="I238" s="42" t="str">
        <f aca="false">IF(F238="","",H238-CALCULO!C238)</f>
        <v/>
      </c>
      <c r="J238" s="40" t="str">
        <f aca="false">IF(F238="","",ROUND(CALCULO!B238/(1-IMPOSTOS-H238-TAXA_3X),2))</f>
        <v/>
      </c>
      <c r="K238" s="40" t="str">
        <f aca="false">IF(F238="","",ROUND(CALCULO!B238/(1-IMPOSTOS-H238-TAXA_6X),2))</f>
        <v/>
      </c>
      <c r="L238" s="40" t="str">
        <f aca="false">IF(F238="","",ROUND(CALCULO!B238/(1-IMPOSTOS-H238-TAXA_10X),2))</f>
        <v/>
      </c>
    </row>
    <row r="239" customFormat="false" ht="15" hidden="false" customHeight="true" outlineLevel="0" collapsed="false">
      <c r="A239" s="8" t="n">
        <f aca="false">CALCULO!A239</f>
        <v>0</v>
      </c>
      <c r="B239" s="40" t="str">
        <f aca="false">IF(CALCULO!D239="","",CALCULO!D239)</f>
        <v/>
      </c>
      <c r="C239" s="40" t="str">
        <f aca="false">IF(CALCULO!E239="","",CALCULO!E239)</f>
        <v/>
      </c>
      <c r="D239" s="40" t="str">
        <f aca="false">IF(CALCULO!F239="","",CALCULO!F239)</f>
        <v/>
      </c>
      <c r="E239" s="40" t="str">
        <f aca="false">IF(CALCULO!G239="","",CALCULO!G239)</f>
        <v/>
      </c>
      <c r="F239" s="41"/>
      <c r="G239" s="42" t="str">
        <f aca="false">IF(F239="","",ROUND((F239-B239)/B239,4))</f>
        <v/>
      </c>
      <c r="H239" s="42" t="str">
        <f aca="false">IF(F239="","",1-IMPOSTOS-CALCULO!B239/F239)</f>
        <v/>
      </c>
      <c r="I239" s="42" t="str">
        <f aca="false">IF(F239="","",H239-CALCULO!C239)</f>
        <v/>
      </c>
      <c r="J239" s="40" t="str">
        <f aca="false">IF(F239="","",ROUND(CALCULO!B239/(1-IMPOSTOS-H239-TAXA_3X),2))</f>
        <v/>
      </c>
      <c r="K239" s="40" t="str">
        <f aca="false">IF(F239="","",ROUND(CALCULO!B239/(1-IMPOSTOS-H239-TAXA_6X),2))</f>
        <v/>
      </c>
      <c r="L239" s="40" t="str">
        <f aca="false">IF(F239="","",ROUND(CALCULO!B239/(1-IMPOSTOS-H239-TAXA_10X),2))</f>
        <v/>
      </c>
    </row>
    <row r="240" customFormat="false" ht="15" hidden="false" customHeight="true" outlineLevel="0" collapsed="false">
      <c r="A240" s="8" t="n">
        <f aca="false">CALCULO!A240</f>
        <v>0</v>
      </c>
      <c r="B240" s="40" t="str">
        <f aca="false">IF(CALCULO!D240="","",CALCULO!D240)</f>
        <v/>
      </c>
      <c r="C240" s="40" t="str">
        <f aca="false">IF(CALCULO!E240="","",CALCULO!E240)</f>
        <v/>
      </c>
      <c r="D240" s="40" t="str">
        <f aca="false">IF(CALCULO!F240="","",CALCULO!F240)</f>
        <v/>
      </c>
      <c r="E240" s="40" t="str">
        <f aca="false">IF(CALCULO!G240="","",CALCULO!G240)</f>
        <v/>
      </c>
      <c r="F240" s="41"/>
      <c r="G240" s="42" t="str">
        <f aca="false">IF(F240="","",ROUND((F240-B240)/B240,4))</f>
        <v/>
      </c>
      <c r="H240" s="42" t="str">
        <f aca="false">IF(F240="","",1-IMPOSTOS-CALCULO!B240/F240)</f>
        <v/>
      </c>
      <c r="I240" s="42" t="str">
        <f aca="false">IF(F240="","",H240-CALCULO!C240)</f>
        <v/>
      </c>
      <c r="J240" s="40" t="str">
        <f aca="false">IF(F240="","",ROUND(CALCULO!B240/(1-IMPOSTOS-H240-TAXA_3X),2))</f>
        <v/>
      </c>
      <c r="K240" s="40" t="str">
        <f aca="false">IF(F240="","",ROUND(CALCULO!B240/(1-IMPOSTOS-H240-TAXA_6X),2))</f>
        <v/>
      </c>
      <c r="L240" s="40" t="str">
        <f aca="false">IF(F240="","",ROUND(CALCULO!B240/(1-IMPOSTOS-H240-TAXA_10X),2))</f>
        <v/>
      </c>
    </row>
    <row r="241" customFormat="false" ht="15" hidden="false" customHeight="true" outlineLevel="0" collapsed="false">
      <c r="A241" s="8" t="n">
        <f aca="false">CALCULO!A241</f>
        <v>0</v>
      </c>
      <c r="B241" s="40" t="str">
        <f aca="false">IF(CALCULO!D241="","",CALCULO!D241)</f>
        <v/>
      </c>
      <c r="C241" s="40" t="str">
        <f aca="false">IF(CALCULO!E241="","",CALCULO!E241)</f>
        <v/>
      </c>
      <c r="D241" s="40" t="str">
        <f aca="false">IF(CALCULO!F241="","",CALCULO!F241)</f>
        <v/>
      </c>
      <c r="E241" s="40" t="str">
        <f aca="false">IF(CALCULO!G241="","",CALCULO!G241)</f>
        <v/>
      </c>
      <c r="F241" s="41"/>
      <c r="G241" s="42" t="str">
        <f aca="false">IF(F241="","",ROUND((F241-B241)/B241,4))</f>
        <v/>
      </c>
      <c r="H241" s="42" t="str">
        <f aca="false">IF(F241="","",1-IMPOSTOS-CALCULO!B241/F241)</f>
        <v/>
      </c>
      <c r="I241" s="42" t="str">
        <f aca="false">IF(F241="","",H241-CALCULO!C241)</f>
        <v/>
      </c>
      <c r="J241" s="40" t="str">
        <f aca="false">IF(F241="","",ROUND(CALCULO!B241/(1-IMPOSTOS-H241-TAXA_3X),2))</f>
        <v/>
      </c>
      <c r="K241" s="40" t="str">
        <f aca="false">IF(F241="","",ROUND(CALCULO!B241/(1-IMPOSTOS-H241-TAXA_6X),2))</f>
        <v/>
      </c>
      <c r="L241" s="40" t="str">
        <f aca="false">IF(F241="","",ROUND(CALCULO!B241/(1-IMPOSTOS-H241-TAXA_10X),2))</f>
        <v/>
      </c>
    </row>
    <row r="242" customFormat="false" ht="15" hidden="false" customHeight="true" outlineLevel="0" collapsed="false">
      <c r="A242" s="8" t="n">
        <f aca="false">CALCULO!A242</f>
        <v>0</v>
      </c>
      <c r="B242" s="40" t="str">
        <f aca="false">IF(CALCULO!D242="","",CALCULO!D242)</f>
        <v/>
      </c>
      <c r="C242" s="40" t="str">
        <f aca="false">IF(CALCULO!E242="","",CALCULO!E242)</f>
        <v/>
      </c>
      <c r="D242" s="40" t="str">
        <f aca="false">IF(CALCULO!F242="","",CALCULO!F242)</f>
        <v/>
      </c>
      <c r="E242" s="40" t="str">
        <f aca="false">IF(CALCULO!G242="","",CALCULO!G242)</f>
        <v/>
      </c>
      <c r="F242" s="41"/>
      <c r="G242" s="42" t="str">
        <f aca="false">IF(F242="","",ROUND((F242-B242)/B242,4))</f>
        <v/>
      </c>
      <c r="H242" s="42" t="str">
        <f aca="false">IF(F242="","",1-IMPOSTOS-CALCULO!B242/F242)</f>
        <v/>
      </c>
      <c r="I242" s="42" t="str">
        <f aca="false">IF(F242="","",H242-CALCULO!C242)</f>
        <v/>
      </c>
      <c r="J242" s="40" t="str">
        <f aca="false">IF(F242="","",ROUND(CALCULO!B242/(1-IMPOSTOS-H242-TAXA_3X),2))</f>
        <v/>
      </c>
      <c r="K242" s="40" t="str">
        <f aca="false">IF(F242="","",ROUND(CALCULO!B242/(1-IMPOSTOS-H242-TAXA_6X),2))</f>
        <v/>
      </c>
      <c r="L242" s="40" t="str">
        <f aca="false">IF(F242="","",ROUND(CALCULO!B242/(1-IMPOSTOS-H242-TAXA_10X),2))</f>
        <v/>
      </c>
    </row>
    <row r="243" customFormat="false" ht="15" hidden="false" customHeight="true" outlineLevel="0" collapsed="false">
      <c r="A243" s="8" t="n">
        <f aca="false">CALCULO!A243</f>
        <v>0</v>
      </c>
      <c r="B243" s="40" t="str">
        <f aca="false">IF(CALCULO!D243="","",CALCULO!D243)</f>
        <v/>
      </c>
      <c r="C243" s="40" t="str">
        <f aca="false">IF(CALCULO!E243="","",CALCULO!E243)</f>
        <v/>
      </c>
      <c r="D243" s="40" t="str">
        <f aca="false">IF(CALCULO!F243="","",CALCULO!F243)</f>
        <v/>
      </c>
      <c r="E243" s="40" t="str">
        <f aca="false">IF(CALCULO!G243="","",CALCULO!G243)</f>
        <v/>
      </c>
      <c r="F243" s="41"/>
      <c r="G243" s="42" t="str">
        <f aca="false">IF(F243="","",ROUND((F243-B243)/B243,4))</f>
        <v/>
      </c>
      <c r="H243" s="42" t="str">
        <f aca="false">IF(F243="","",1-IMPOSTOS-CALCULO!B243/F243)</f>
        <v/>
      </c>
      <c r="I243" s="42" t="str">
        <f aca="false">IF(F243="","",H243-CALCULO!C243)</f>
        <v/>
      </c>
      <c r="J243" s="40" t="str">
        <f aca="false">IF(F243="","",ROUND(CALCULO!B243/(1-IMPOSTOS-H243-TAXA_3X),2))</f>
        <v/>
      </c>
      <c r="K243" s="40" t="str">
        <f aca="false">IF(F243="","",ROUND(CALCULO!B243/(1-IMPOSTOS-H243-TAXA_6X),2))</f>
        <v/>
      </c>
      <c r="L243" s="40" t="str">
        <f aca="false">IF(F243="","",ROUND(CALCULO!B243/(1-IMPOSTOS-H243-TAXA_10X),2))</f>
        <v/>
      </c>
    </row>
    <row r="244" customFormat="false" ht="15" hidden="false" customHeight="true" outlineLevel="0" collapsed="false">
      <c r="A244" s="8" t="n">
        <f aca="false">CALCULO!A244</f>
        <v>0</v>
      </c>
      <c r="B244" s="40" t="str">
        <f aca="false">IF(CALCULO!D244="","",CALCULO!D244)</f>
        <v/>
      </c>
      <c r="C244" s="40" t="str">
        <f aca="false">IF(CALCULO!E244="","",CALCULO!E244)</f>
        <v/>
      </c>
      <c r="D244" s="40" t="str">
        <f aca="false">IF(CALCULO!F244="","",CALCULO!F244)</f>
        <v/>
      </c>
      <c r="E244" s="40" t="str">
        <f aca="false">IF(CALCULO!G244="","",CALCULO!G244)</f>
        <v/>
      </c>
      <c r="F244" s="41"/>
      <c r="G244" s="42" t="str">
        <f aca="false">IF(F244="","",ROUND((F244-B244)/B244,4))</f>
        <v/>
      </c>
      <c r="H244" s="42" t="str">
        <f aca="false">IF(F244="","",1-IMPOSTOS-CALCULO!B244/F244)</f>
        <v/>
      </c>
      <c r="I244" s="42" t="str">
        <f aca="false">IF(F244="","",H244-CALCULO!C244)</f>
        <v/>
      </c>
      <c r="J244" s="40" t="str">
        <f aca="false">IF(F244="","",ROUND(CALCULO!B244/(1-IMPOSTOS-H244-TAXA_3X),2))</f>
        <v/>
      </c>
      <c r="K244" s="40" t="str">
        <f aca="false">IF(F244="","",ROUND(CALCULO!B244/(1-IMPOSTOS-H244-TAXA_6X),2))</f>
        <v/>
      </c>
      <c r="L244" s="40" t="str">
        <f aca="false">IF(F244="","",ROUND(CALCULO!B244/(1-IMPOSTOS-H244-TAXA_10X),2))</f>
        <v/>
      </c>
    </row>
    <row r="245" customFormat="false" ht="15" hidden="false" customHeight="true" outlineLevel="0" collapsed="false">
      <c r="A245" s="8" t="n">
        <f aca="false">CALCULO!A245</f>
        <v>0</v>
      </c>
      <c r="B245" s="40" t="str">
        <f aca="false">IF(CALCULO!D245="","",CALCULO!D245)</f>
        <v/>
      </c>
      <c r="C245" s="40" t="str">
        <f aca="false">IF(CALCULO!E245="","",CALCULO!E245)</f>
        <v/>
      </c>
      <c r="D245" s="40" t="str">
        <f aca="false">IF(CALCULO!F245="","",CALCULO!F245)</f>
        <v/>
      </c>
      <c r="E245" s="40" t="str">
        <f aca="false">IF(CALCULO!G245="","",CALCULO!G245)</f>
        <v/>
      </c>
      <c r="F245" s="41"/>
      <c r="G245" s="42" t="str">
        <f aca="false">IF(F245="","",ROUND((F245-B245)/B245,4))</f>
        <v/>
      </c>
      <c r="H245" s="42" t="str">
        <f aca="false">IF(F245="","",1-IMPOSTOS-CALCULO!B245/F245)</f>
        <v/>
      </c>
      <c r="I245" s="42" t="str">
        <f aca="false">IF(F245="","",H245-CALCULO!C245)</f>
        <v/>
      </c>
      <c r="J245" s="40" t="str">
        <f aca="false">IF(F245="","",ROUND(CALCULO!B245/(1-IMPOSTOS-H245-TAXA_3X),2))</f>
        <v/>
      </c>
      <c r="K245" s="40" t="str">
        <f aca="false">IF(F245="","",ROUND(CALCULO!B245/(1-IMPOSTOS-H245-TAXA_6X),2))</f>
        <v/>
      </c>
      <c r="L245" s="40" t="str">
        <f aca="false">IF(F245="","",ROUND(CALCULO!B245/(1-IMPOSTOS-H245-TAXA_10X),2))</f>
        <v/>
      </c>
    </row>
    <row r="246" customFormat="false" ht="15" hidden="false" customHeight="true" outlineLevel="0" collapsed="false">
      <c r="A246" s="8" t="n">
        <f aca="false">CALCULO!A246</f>
        <v>0</v>
      </c>
      <c r="B246" s="40" t="str">
        <f aca="false">IF(CALCULO!D246="","",CALCULO!D246)</f>
        <v/>
      </c>
      <c r="C246" s="40" t="str">
        <f aca="false">IF(CALCULO!E246="","",CALCULO!E246)</f>
        <v/>
      </c>
      <c r="D246" s="40" t="str">
        <f aca="false">IF(CALCULO!F246="","",CALCULO!F246)</f>
        <v/>
      </c>
      <c r="E246" s="40" t="str">
        <f aca="false">IF(CALCULO!G246="","",CALCULO!G246)</f>
        <v/>
      </c>
      <c r="F246" s="41"/>
      <c r="G246" s="42" t="str">
        <f aca="false">IF(F246="","",ROUND((F246-B246)/B246,4))</f>
        <v/>
      </c>
      <c r="H246" s="42" t="str">
        <f aca="false">IF(F246="","",1-IMPOSTOS-CALCULO!B246/F246)</f>
        <v/>
      </c>
      <c r="I246" s="42" t="str">
        <f aca="false">IF(F246="","",H246-CALCULO!C246)</f>
        <v/>
      </c>
      <c r="J246" s="40" t="str">
        <f aca="false">IF(F246="","",ROUND(CALCULO!B246/(1-IMPOSTOS-H246-TAXA_3X),2))</f>
        <v/>
      </c>
      <c r="K246" s="40" t="str">
        <f aca="false">IF(F246="","",ROUND(CALCULO!B246/(1-IMPOSTOS-H246-TAXA_6X),2))</f>
        <v/>
      </c>
      <c r="L246" s="40" t="str">
        <f aca="false">IF(F246="","",ROUND(CALCULO!B246/(1-IMPOSTOS-H246-TAXA_10X),2))</f>
        <v/>
      </c>
    </row>
    <row r="247" customFormat="false" ht="15" hidden="false" customHeight="true" outlineLevel="0" collapsed="false">
      <c r="A247" s="8" t="n">
        <f aca="false">CALCULO!A247</f>
        <v>0</v>
      </c>
      <c r="B247" s="40" t="str">
        <f aca="false">IF(CALCULO!D247="","",CALCULO!D247)</f>
        <v/>
      </c>
      <c r="C247" s="40" t="str">
        <f aca="false">IF(CALCULO!E247="","",CALCULO!E247)</f>
        <v/>
      </c>
      <c r="D247" s="40" t="str">
        <f aca="false">IF(CALCULO!F247="","",CALCULO!F247)</f>
        <v/>
      </c>
      <c r="E247" s="40" t="str">
        <f aca="false">IF(CALCULO!G247="","",CALCULO!G247)</f>
        <v/>
      </c>
      <c r="F247" s="41"/>
      <c r="G247" s="42" t="str">
        <f aca="false">IF(F247="","",ROUND((F247-B247)/B247,4))</f>
        <v/>
      </c>
      <c r="H247" s="42" t="str">
        <f aca="false">IF(F247="","",1-IMPOSTOS-CALCULO!B247/F247)</f>
        <v/>
      </c>
      <c r="I247" s="42" t="str">
        <f aca="false">IF(F247="","",H247-CALCULO!C247)</f>
        <v/>
      </c>
      <c r="J247" s="40" t="str">
        <f aca="false">IF(F247="","",ROUND(CALCULO!B247/(1-IMPOSTOS-H247-TAXA_3X),2))</f>
        <v/>
      </c>
      <c r="K247" s="40" t="str">
        <f aca="false">IF(F247="","",ROUND(CALCULO!B247/(1-IMPOSTOS-H247-TAXA_6X),2))</f>
        <v/>
      </c>
      <c r="L247" s="40" t="str">
        <f aca="false">IF(F247="","",ROUND(CALCULO!B247/(1-IMPOSTOS-H247-TAXA_10X),2))</f>
        <v/>
      </c>
    </row>
    <row r="248" customFormat="false" ht="15" hidden="false" customHeight="true" outlineLevel="0" collapsed="false">
      <c r="A248" s="8" t="n">
        <f aca="false">CALCULO!A248</f>
        <v>0</v>
      </c>
      <c r="B248" s="40" t="str">
        <f aca="false">IF(CALCULO!D248="","",CALCULO!D248)</f>
        <v/>
      </c>
      <c r="C248" s="40" t="str">
        <f aca="false">IF(CALCULO!E248="","",CALCULO!E248)</f>
        <v/>
      </c>
      <c r="D248" s="40" t="str">
        <f aca="false">IF(CALCULO!F248="","",CALCULO!F248)</f>
        <v/>
      </c>
      <c r="E248" s="40" t="str">
        <f aca="false">IF(CALCULO!G248="","",CALCULO!G248)</f>
        <v/>
      </c>
      <c r="F248" s="41"/>
      <c r="G248" s="42" t="str">
        <f aca="false">IF(F248="","",ROUND((F248-B248)/B248,4))</f>
        <v/>
      </c>
      <c r="H248" s="42" t="str">
        <f aca="false">IF(F248="","",1-IMPOSTOS-CALCULO!B248/F248)</f>
        <v/>
      </c>
      <c r="I248" s="42" t="str">
        <f aca="false">IF(F248="","",H248-CALCULO!C248)</f>
        <v/>
      </c>
      <c r="J248" s="40" t="str">
        <f aca="false">IF(F248="","",ROUND(CALCULO!B248/(1-IMPOSTOS-H248-TAXA_3X),2))</f>
        <v/>
      </c>
      <c r="K248" s="40" t="str">
        <f aca="false">IF(F248="","",ROUND(CALCULO!B248/(1-IMPOSTOS-H248-TAXA_6X),2))</f>
        <v/>
      </c>
      <c r="L248" s="40" t="str">
        <f aca="false">IF(F248="","",ROUND(CALCULO!B248/(1-IMPOSTOS-H248-TAXA_10X),2))</f>
        <v/>
      </c>
    </row>
    <row r="249" customFormat="false" ht="15" hidden="false" customHeight="true" outlineLevel="0" collapsed="false">
      <c r="A249" s="8" t="n">
        <f aca="false">CALCULO!A249</f>
        <v>0</v>
      </c>
      <c r="B249" s="40" t="str">
        <f aca="false">IF(CALCULO!D249="","",CALCULO!D249)</f>
        <v/>
      </c>
      <c r="C249" s="40" t="str">
        <f aca="false">IF(CALCULO!E249="","",CALCULO!E249)</f>
        <v/>
      </c>
      <c r="D249" s="40" t="str">
        <f aca="false">IF(CALCULO!F249="","",CALCULO!F249)</f>
        <v/>
      </c>
      <c r="E249" s="40" t="str">
        <f aca="false">IF(CALCULO!G249="","",CALCULO!G249)</f>
        <v/>
      </c>
      <c r="F249" s="41"/>
      <c r="G249" s="42" t="str">
        <f aca="false">IF(F249="","",ROUND((F249-B249)/B249,4))</f>
        <v/>
      </c>
      <c r="H249" s="42" t="str">
        <f aca="false">IF(F249="","",1-IMPOSTOS-CALCULO!B249/F249)</f>
        <v/>
      </c>
      <c r="I249" s="42" t="str">
        <f aca="false">IF(F249="","",H249-CALCULO!C249)</f>
        <v/>
      </c>
      <c r="J249" s="40" t="str">
        <f aca="false">IF(F249="","",ROUND(CALCULO!B249/(1-IMPOSTOS-H249-TAXA_3X),2))</f>
        <v/>
      </c>
      <c r="K249" s="40" t="str">
        <f aca="false">IF(F249="","",ROUND(CALCULO!B249/(1-IMPOSTOS-H249-TAXA_6X),2))</f>
        <v/>
      </c>
      <c r="L249" s="40" t="str">
        <f aca="false">IF(F249="","",ROUND(CALCULO!B249/(1-IMPOSTOS-H249-TAXA_10X),2))</f>
        <v/>
      </c>
    </row>
    <row r="250" customFormat="false" ht="15" hidden="false" customHeight="true" outlineLevel="0" collapsed="false">
      <c r="A250" s="8" t="n">
        <f aca="false">CALCULO!A250</f>
        <v>0</v>
      </c>
      <c r="B250" s="40" t="str">
        <f aca="false">IF(CALCULO!D250="","",CALCULO!D250)</f>
        <v/>
      </c>
      <c r="C250" s="40" t="str">
        <f aca="false">IF(CALCULO!E250="","",CALCULO!E250)</f>
        <v/>
      </c>
      <c r="D250" s="40" t="str">
        <f aca="false">IF(CALCULO!F250="","",CALCULO!F250)</f>
        <v/>
      </c>
      <c r="E250" s="40" t="str">
        <f aca="false">IF(CALCULO!G250="","",CALCULO!G250)</f>
        <v/>
      </c>
      <c r="F250" s="41"/>
      <c r="G250" s="42" t="str">
        <f aca="false">IF(F250="","",ROUND((F250-B250)/B250,4))</f>
        <v/>
      </c>
      <c r="H250" s="42" t="str">
        <f aca="false">IF(F250="","",1-IMPOSTOS-CALCULO!B250/F250)</f>
        <v/>
      </c>
      <c r="I250" s="42" t="str">
        <f aca="false">IF(F250="","",H250-CALCULO!C250)</f>
        <v/>
      </c>
      <c r="J250" s="40" t="str">
        <f aca="false">IF(F250="","",ROUND(CALCULO!B250/(1-IMPOSTOS-H250-TAXA_3X),2))</f>
        <v/>
      </c>
      <c r="K250" s="40" t="str">
        <f aca="false">IF(F250="","",ROUND(CALCULO!B250/(1-IMPOSTOS-H250-TAXA_6X),2))</f>
        <v/>
      </c>
      <c r="L250" s="40" t="str">
        <f aca="false">IF(F250="","",ROUND(CALCULO!B250/(1-IMPOSTOS-H250-TAXA_10X),2))</f>
        <v/>
      </c>
    </row>
    <row r="251" customFormat="false" ht="15" hidden="false" customHeight="true" outlineLevel="0" collapsed="false">
      <c r="A251" s="8" t="n">
        <f aca="false">CALCULO!A251</f>
        <v>0</v>
      </c>
      <c r="B251" s="40" t="str">
        <f aca="false">IF(CALCULO!D251="","",CALCULO!D251)</f>
        <v/>
      </c>
      <c r="C251" s="40" t="str">
        <f aca="false">IF(CALCULO!E251="","",CALCULO!E251)</f>
        <v/>
      </c>
      <c r="D251" s="40" t="str">
        <f aca="false">IF(CALCULO!F251="","",CALCULO!F251)</f>
        <v/>
      </c>
      <c r="E251" s="40" t="str">
        <f aca="false">IF(CALCULO!G251="","",CALCULO!G251)</f>
        <v/>
      </c>
      <c r="F251" s="41"/>
      <c r="G251" s="42" t="str">
        <f aca="false">IF(F251="","",ROUND((F251-B251)/B251,4))</f>
        <v/>
      </c>
      <c r="H251" s="42" t="str">
        <f aca="false">IF(F251="","",1-IMPOSTOS-CALCULO!B251/F251)</f>
        <v/>
      </c>
      <c r="I251" s="42" t="str">
        <f aca="false">IF(F251="","",H251-CALCULO!C251)</f>
        <v/>
      </c>
      <c r="J251" s="40" t="str">
        <f aca="false">IF(F251="","",ROUND(CALCULO!B251/(1-IMPOSTOS-H251-TAXA_3X),2))</f>
        <v/>
      </c>
      <c r="K251" s="40" t="str">
        <f aca="false">IF(F251="","",ROUND(CALCULO!B251/(1-IMPOSTOS-H251-TAXA_6X),2))</f>
        <v/>
      </c>
      <c r="L251" s="40" t="str">
        <f aca="false">IF(F251="","",ROUND(CALCULO!B251/(1-IMPOSTOS-H251-TAXA_10X),2))</f>
        <v/>
      </c>
    </row>
  </sheetData>
  <sheetProtection sheet="true" objects="true" scenarios="true"/>
  <mergeCells count="4">
    <mergeCell ref="N2:S10"/>
    <mergeCell ref="N12:S13"/>
    <mergeCell ref="N15:S16"/>
    <mergeCell ref="N18:S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2026-08-17T17:41:01Z</dcterms:created>
  <dc:creator>openpyxl</dc:creator>
  <dc:description/>
  <dc:language>pt-PT</dc:language>
  <cp:lastModifiedBy/>
  <dcterms:modified xsi:type="dcterms:W3CDTF">2026-08-19T10:59:49Z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